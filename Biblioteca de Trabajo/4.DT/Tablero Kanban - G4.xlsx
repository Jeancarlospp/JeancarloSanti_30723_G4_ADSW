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YNABOOK\Downloads\"/>
    </mc:Choice>
  </mc:AlternateContent>
  <xr:revisionPtr revIDLastSave="0" documentId="8_{635F9C40-2903-4077-B162-FE383AA7CDA8}" xr6:coauthVersionLast="47" xr6:coauthVersionMax="47" xr10:uidLastSave="{00000000-0000-0000-0000-000000000000}"/>
  <workbookProtection lockStructure="1"/>
  <bookViews>
    <workbookView xWindow="-110" yWindow="-110" windowWidth="19420" windowHeight="11020" firstSheet="1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9" i="3" l="1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D34" i="5" s="1" a="1"/>
  <c r="D34" i="5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D16" i="5" s="1" a="1"/>
  <c r="D16" i="5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D46" i="5" s="1" a="1"/>
  <c r="D46" i="5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12" i="5" l="1" a="1"/>
  <c r="D12" i="5" s="1"/>
  <c r="D24" i="5" a="1"/>
  <c r="D24" i="5" s="1"/>
  <c r="D6" i="5" a="1"/>
  <c r="D6" i="5" s="1"/>
  <c r="D25" i="5" a="1"/>
  <c r="D25" i="5" s="1"/>
  <c r="D31" i="5" a="1"/>
  <c r="D31" i="5" s="1"/>
  <c r="D14" i="5" a="1"/>
  <c r="D14" i="5" s="1"/>
  <c r="D9" i="5" a="1"/>
  <c r="D9" i="5" s="1"/>
  <c r="D27" i="5" a="1"/>
  <c r="D27" i="5" s="1"/>
  <c r="D39" i="5" a="1"/>
  <c r="D39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4" i="5"/>
  <c r="K32" i="5"/>
  <c r="K8" i="5"/>
  <c r="K3" i="5"/>
  <c r="K50" i="5"/>
  <c r="K85" i="5"/>
  <c r="K78" i="5"/>
  <c r="K70" i="5"/>
  <c r="K79" i="5"/>
  <c r="K10" i="5"/>
  <c r="K83" i="5"/>
  <c r="K30" i="5"/>
  <c r="K99" i="5"/>
  <c r="K27" i="5"/>
  <c r="K31" i="5"/>
  <c r="K57" i="5"/>
  <c r="K53" i="5"/>
  <c r="K28" i="5"/>
  <c r="K42" i="5"/>
  <c r="K93" i="5"/>
  <c r="K95" i="5"/>
  <c r="K71" i="5"/>
  <c r="K48" i="5"/>
  <c r="K9" i="5"/>
  <c r="K39" i="5"/>
  <c r="K100" i="5"/>
  <c r="K73" i="5"/>
  <c r="K35" i="5"/>
  <c r="K34" i="5"/>
  <c r="K20" i="5"/>
  <c r="K49" i="5"/>
  <c r="K25" i="5"/>
  <c r="K14" i="5"/>
  <c r="K33" i="5"/>
  <c r="K29" i="5"/>
  <c r="K46" i="5"/>
  <c r="K87" i="5"/>
  <c r="K58" i="5"/>
  <c r="K66" i="5"/>
  <c r="K11" i="5"/>
  <c r="K61" i="5"/>
  <c r="K15" i="5"/>
  <c r="K51" i="5"/>
  <c r="K55" i="5"/>
  <c r="K38" i="5"/>
  <c r="K59" i="5"/>
  <c r="K47" i="5"/>
  <c r="K45" i="5"/>
  <c r="K16" i="5"/>
  <c r="K76" i="5"/>
  <c r="K65" i="5"/>
  <c r="K21" i="5"/>
  <c r="K2" i="5"/>
  <c r="K63" i="5"/>
  <c r="K72" i="5"/>
  <c r="K94" i="5"/>
  <c r="K88" i="5"/>
  <c r="K44" i="5"/>
  <c r="K97" i="5"/>
  <c r="K74" i="5"/>
  <c r="K23" i="5"/>
  <c r="K43" i="5"/>
  <c r="K101" i="5"/>
  <c r="K92" i="5"/>
  <c r="K82" i="5"/>
  <c r="K67" i="5"/>
  <c r="K84" i="5"/>
  <c r="K60" i="5"/>
  <c r="K37" i="5"/>
  <c r="K22" i="5"/>
  <c r="K96" i="5"/>
  <c r="K41" i="5"/>
  <c r="K62" i="5"/>
  <c r="K6" i="5"/>
  <c r="K19" i="5"/>
  <c r="K86" i="5"/>
  <c r="K89" i="5"/>
  <c r="K91" i="5"/>
  <c r="K68" i="5"/>
  <c r="K56" i="5"/>
  <c r="K40" i="5"/>
  <c r="K98" i="5"/>
  <c r="K5" i="5"/>
  <c r="K69" i="5"/>
  <c r="K75" i="5"/>
  <c r="K54" i="5"/>
  <c r="K13" i="5"/>
  <c r="K81" i="5"/>
  <c r="K17" i="5"/>
  <c r="K26" i="5"/>
  <c r="K7" i="5"/>
  <c r="K80" i="5"/>
  <c r="K64" i="5"/>
  <c r="K52" i="5"/>
  <c r="K12" i="5"/>
  <c r="K18" i="5"/>
  <c r="K77" i="5"/>
  <c r="K36" i="5"/>
  <c r="K90" i="5"/>
  <c r="K24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M75" i="5"/>
  <c r="L24" i="5"/>
  <c r="L37" i="5"/>
  <c r="L43" i="5"/>
  <c r="L26" i="5"/>
  <c r="L72" i="5"/>
  <c r="N36" i="5"/>
  <c r="L75" i="5"/>
  <c r="N96" i="5"/>
  <c r="M62" i="5"/>
  <c r="L68" i="5"/>
  <c r="M58" i="5"/>
  <c r="M14" i="5"/>
  <c r="L90" i="5"/>
  <c r="L12" i="5"/>
  <c r="L36" i="5"/>
  <c r="M73" i="5"/>
  <c r="M100" i="5"/>
  <c r="N27" i="5"/>
  <c r="L35" i="5"/>
  <c r="M93" i="5"/>
  <c r="N34" i="5"/>
  <c r="N49" i="5"/>
  <c r="L95" i="5"/>
  <c r="M33" i="5"/>
  <c r="N101" i="5"/>
  <c r="M9" i="5"/>
  <c r="N10" i="5"/>
  <c r="N42" i="5"/>
  <c r="L31" i="5"/>
  <c r="M43" i="5"/>
  <c r="L49" i="5"/>
  <c r="M37" i="5"/>
  <c r="M55" i="5"/>
  <c r="L53" i="5"/>
  <c r="M42" i="5"/>
  <c r="N41" i="5"/>
  <c r="L23" i="5"/>
  <c r="N40" i="5"/>
  <c r="N16" i="5"/>
  <c r="N2" i="5"/>
  <c r="M4" i="5"/>
  <c r="L18" i="5"/>
  <c r="M56" i="5"/>
  <c r="M52" i="5"/>
  <c r="N14" i="5"/>
  <c r="L86" i="5"/>
  <c r="N59" i="5"/>
  <c r="M91" i="5"/>
  <c r="M70" i="5"/>
  <c r="L59" i="5"/>
  <c r="L85" i="5"/>
  <c r="N92" i="5"/>
  <c r="L79" i="5"/>
  <c r="L13" i="5"/>
  <c r="M26" i="5"/>
  <c r="L28" i="5"/>
  <c r="N89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L101" i="5"/>
  <c r="L17" i="5"/>
  <c r="N57" i="5"/>
  <c r="N85" i="5"/>
  <c r="L99" i="5"/>
  <c r="M30" i="5"/>
  <c r="L57" i="5"/>
  <c r="M101" i="5"/>
  <c r="M65" i="5"/>
  <c r="N6" i="5"/>
  <c r="N65" i="5"/>
  <c r="M95" i="5"/>
  <c r="M3" i="5"/>
  <c r="N7" i="5"/>
  <c r="L78" i="5"/>
  <c r="M13" i="5"/>
  <c r="M22" i="5"/>
  <c r="N79" i="5"/>
  <c r="M28" i="5"/>
  <c r="N68" i="5"/>
  <c r="M18" i="5"/>
  <c r="N19" i="5"/>
  <c r="N70" i="5"/>
  <c r="M87" i="5"/>
  <c r="N28" i="5"/>
  <c r="M59" i="5"/>
  <c r="M51" i="5"/>
  <c r="L14" i="5"/>
  <c r="N32" i="5"/>
  <c r="L6" i="5"/>
  <c r="N4" i="5"/>
  <c r="N29" i="5"/>
  <c r="M38" i="5"/>
  <c r="N82" i="5"/>
  <c r="L58" i="5"/>
  <c r="M8" i="5"/>
  <c r="N100" i="5"/>
  <c r="M48" i="5"/>
  <c r="N13" i="5"/>
  <c r="L47" i="5"/>
  <c r="N83" i="5"/>
  <c r="L80" i="5"/>
  <c r="L29" i="5"/>
  <c r="L16" i="5"/>
  <c r="L30" i="5"/>
  <c r="M5" i="5"/>
  <c r="L81" i="5"/>
  <c r="L48" i="5"/>
  <c r="N66" i="5"/>
  <c r="N12" i="5"/>
  <c r="M89" i="5"/>
  <c r="N81" i="5"/>
  <c r="L91" i="5"/>
  <c r="M69" i="5"/>
  <c r="M61" i="5"/>
  <c r="L96" i="5"/>
  <c r="L70" i="5"/>
  <c r="M40" i="5"/>
  <c r="N37" i="5"/>
  <c r="L73" i="5"/>
  <c r="M78" i="5"/>
  <c r="N23" i="5"/>
  <c r="M82" i="5"/>
  <c r="L52" i="5"/>
  <c r="L67" i="5"/>
  <c r="N78" i="5"/>
  <c r="M74" i="5"/>
  <c r="N22" i="5"/>
  <c r="L100" i="5"/>
  <c r="M16" i="5"/>
  <c r="N95" i="5"/>
  <c r="L20" i="5"/>
  <c r="M2" i="5"/>
  <c r="N25" i="5"/>
  <c r="L60" i="5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M25" i="5"/>
  <c r="N11" i="5"/>
  <c r="N46" i="5"/>
  <c r="L55" i="5"/>
  <c r="N31" i="5"/>
  <c r="M32" i="5"/>
  <c r="M23" i="5"/>
  <c r="L56" i="5"/>
  <c r="M63" i="5"/>
  <c r="N64" i="5"/>
  <c r="N99" i="5"/>
  <c r="N73" i="5"/>
  <c r="N47" i="5"/>
  <c r="M94" i="5"/>
  <c r="M72" i="5"/>
  <c r="N39" i="5"/>
  <c r="M36" i="5"/>
  <c r="M54" i="5"/>
  <c r="M6" i="5"/>
  <c r="L93" i="5"/>
  <c r="M41" i="5"/>
  <c r="N56" i="5"/>
  <c r="L65" i="5"/>
  <c r="M45" i="5"/>
  <c r="M39" i="5"/>
  <c r="M68" i="5"/>
  <c r="N54" i="5"/>
  <c r="M97" i="5"/>
  <c r="M53" i="5"/>
  <c r="L69" i="5"/>
  <c r="L82" i="5"/>
  <c r="N26" i="5"/>
  <c r="L41" i="5"/>
  <c r="N21" i="5"/>
  <c r="L46" i="5"/>
  <c r="L21" i="5"/>
  <c r="N86" i="5"/>
  <c r="N63" i="5"/>
  <c r="L33" i="5"/>
  <c r="N50" i="5"/>
  <c r="L5" i="5"/>
  <c r="M34" i="5"/>
  <c r="M76" i="5"/>
  <c r="N15" i="5"/>
  <c r="M7" i="5"/>
  <c r="N88" i="5"/>
  <c r="M88" i="5"/>
  <c r="N48" i="5"/>
  <c r="L39" i="5"/>
  <c r="N45" i="5"/>
  <c r="M60" i="5"/>
  <c r="L63" i="5"/>
  <c r="M71" i="5"/>
  <c r="M35" i="5"/>
  <c r="L3" i="5"/>
  <c r="M47" i="5"/>
  <c r="N53" i="5"/>
  <c r="L97" i="5"/>
  <c r="L25" i="5"/>
  <c r="L8" i="5"/>
  <c r="M15" i="5"/>
  <c r="L89" i="5"/>
  <c r="N35" i="5"/>
  <c r="N90" i="5"/>
  <c r="L71" i="5"/>
  <c r="L7" i="5"/>
  <c r="M31" i="5"/>
  <c r="L44" i="5"/>
  <c r="L74" i="5"/>
  <c r="L27" i="5"/>
  <c r="N75" i="5"/>
  <c r="L77" i="5"/>
  <c r="M21" i="5"/>
  <c r="N52" i="5"/>
  <c r="M57" i="5"/>
  <c r="N97" i="5"/>
  <c r="N60" i="5"/>
  <c r="N87" i="5"/>
  <c r="L88" i="5"/>
  <c r="L76" i="5"/>
  <c r="M50" i="5"/>
  <c r="L34" i="5"/>
  <c r="L40" i="5"/>
  <c r="N58" i="5"/>
  <c r="M46" i="5"/>
  <c r="M90" i="5"/>
  <c r="N98" i="5"/>
  <c r="N24" i="5"/>
  <c r="L62" i="5"/>
  <c r="N84" i="5"/>
  <c r="N72" i="5"/>
  <c r="M10" i="5"/>
  <c r="N55" i="5"/>
  <c r="N93" i="5"/>
  <c r="L10" i="5"/>
  <c r="M49" i="5"/>
  <c r="L83" i="5"/>
  <c r="L32" i="5"/>
  <c r="M98" i="5"/>
  <c r="M84" i="5"/>
  <c r="L15" i="5"/>
  <c r="N38" i="5"/>
  <c r="L9" i="5"/>
  <c r="N61" i="5"/>
  <c r="N94" i="5"/>
  <c r="N8" i="5"/>
  <c r="N18" i="5"/>
  <c r="M17" i="5"/>
  <c r="L64" i="5"/>
  <c r="M99" i="5"/>
  <c r="N80" i="5"/>
  <c r="M86" i="5"/>
  <c r="M96" i="5"/>
  <c r="N43" i="5"/>
  <c r="N51" i="5"/>
  <c r="M67" i="5"/>
  <c r="N9" i="5"/>
  <c r="M27" i="5"/>
  <c r="L94" i="5"/>
  <c r="L87" i="5"/>
  <c r="N30" i="5"/>
  <c r="M24" i="5"/>
  <c r="L61" i="5"/>
  <c r="N20" i="5"/>
  <c r="N76" i="5"/>
  <c r="M79" i="5"/>
  <c r="M19" i="5"/>
  <c r="L84" i="5"/>
  <c r="M12" i="5"/>
  <c r="L51" i="5"/>
  <c r="N17" i="5"/>
  <c r="N3" i="5"/>
  <c r="N33" i="5"/>
  <c r="N62" i="5"/>
  <c r="L98" i="5"/>
  <c r="M81" i="5"/>
  <c r="L54" i="5"/>
  <c r="L11" i="5"/>
  <c r="N67" i="5"/>
  <c r="N69" i="5"/>
  <c r="M20" i="5"/>
  <c r="N77" i="5"/>
  <c r="L50" i="5"/>
  <c r="M66" i="5"/>
  <c r="L45" i="5"/>
  <c r="L4" i="5"/>
  <c r="M80" i="5"/>
  <c r="M77" i="5"/>
  <c r="M11" i="5"/>
  <c r="L22" i="5"/>
  <c r="L92" i="5"/>
  <c r="L42" i="5"/>
  <c r="N91" i="5"/>
  <c r="L66" i="5"/>
  <c r="M92" i="5"/>
  <c r="M64" i="5"/>
  <c r="M44" i="5"/>
  <c r="L38" i="5"/>
  <c r="M29" i="5"/>
  <c r="N5" i="5"/>
  <c r="M83" i="5"/>
  <c r="N74" i="5"/>
  <c r="M85" i="5"/>
  <c r="N44" i="5"/>
  <c r="N71" i="5"/>
  <c r="L19" i="5"/>
  <c r="L2" i="5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84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J31" i="5"/>
  <c r="J45" i="5"/>
  <c r="J27" i="5"/>
  <c r="J51" i="5"/>
  <c r="J9" i="5"/>
  <c r="J93" i="5"/>
  <c r="J100" i="5"/>
  <c r="J42" i="5"/>
  <c r="J10" i="5"/>
  <c r="J34" i="5"/>
  <c r="J4" i="5"/>
  <c r="J97" i="5"/>
  <c r="J78" i="5"/>
  <c r="J65" i="5"/>
  <c r="J43" i="5"/>
  <c r="J54" i="5"/>
  <c r="J86" i="5"/>
  <c r="J80" i="5"/>
  <c r="J52" i="5"/>
  <c r="J67" i="5"/>
  <c r="J61" i="5"/>
  <c r="J85" i="5"/>
  <c r="J94" i="5"/>
  <c r="J39" i="5"/>
  <c r="J2" i="5"/>
  <c r="J53" i="5"/>
  <c r="J15" i="5"/>
  <c r="J7" i="5"/>
  <c r="J30" i="5"/>
  <c r="J23" i="5"/>
  <c r="J62" i="5"/>
  <c r="J92" i="5"/>
  <c r="J68" i="5"/>
  <c r="J47" i="5"/>
  <c r="J82" i="5"/>
  <c r="J91" i="5"/>
  <c r="J77" i="5"/>
  <c r="J48" i="5"/>
  <c r="J81" i="5"/>
  <c r="J70" i="5"/>
  <c r="J76" i="5"/>
  <c r="J75" i="5"/>
  <c r="J55" i="5"/>
  <c r="J13" i="5"/>
  <c r="J66" i="5"/>
  <c r="J19" i="5"/>
  <c r="J6" i="5"/>
  <c r="J56" i="5"/>
  <c r="J5" i="5"/>
  <c r="J21" i="5"/>
  <c r="J96" i="5"/>
  <c r="J16" i="5"/>
  <c r="J29" i="5"/>
  <c r="J28" i="5"/>
  <c r="J8" i="5"/>
  <c r="J44" i="5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J101" i="5"/>
  <c r="J88" i="5"/>
  <c r="J25" i="5"/>
  <c r="J41" i="5"/>
  <c r="J72" i="5"/>
  <c r="J95" i="5"/>
  <c r="J58" i="5"/>
  <c r="J87" i="5"/>
  <c r="J69" i="5"/>
  <c r="J89" i="5"/>
  <c r="J83" i="5"/>
  <c r="J11" i="5"/>
  <c r="J40" i="5"/>
  <c r="J22" i="5"/>
  <c r="J32" i="5"/>
  <c r="J59" i="5"/>
  <c r="J50" i="5"/>
  <c r="J90" i="5"/>
  <c r="J18" i="5"/>
  <c r="J99" i="5"/>
  <c r="J14" i="5"/>
  <c r="J24" i="5"/>
  <c r="J98" i="5"/>
  <c r="J17" i="5"/>
  <c r="J49" i="5"/>
  <c r="J57" i="5"/>
  <c r="J79" i="5"/>
  <c r="J63" i="5"/>
  <c r="J3" i="5"/>
  <c r="J46" i="5"/>
  <c r="J73" i="5"/>
  <c r="J64" i="5"/>
  <c r="J37" i="5"/>
  <c r="J71" i="5"/>
  <c r="J36" i="5"/>
  <c r="J12" i="5"/>
  <c r="J60" i="5"/>
  <c r="J33" i="5"/>
  <c r="J38" i="5"/>
  <c r="J35" i="5"/>
  <c r="J74" i="5"/>
  <c r="J20" i="5"/>
  <c r="J26" i="5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16" i="5"/>
  <c r="G48" i="5"/>
  <c r="G77" i="5"/>
  <c r="G51" i="5"/>
  <c r="G75" i="5"/>
  <c r="G42" i="5"/>
  <c r="G65" i="5"/>
  <c r="G97" i="5"/>
  <c r="G59" i="5"/>
  <c r="G49" i="5"/>
  <c r="G24" i="5"/>
  <c r="G36" i="5"/>
  <c r="G17" i="5"/>
  <c r="G13" i="5"/>
  <c r="G62" i="5"/>
  <c r="G94" i="5"/>
  <c r="G90" i="5"/>
  <c r="G70" i="5"/>
  <c r="G53" i="5"/>
  <c r="G91" i="5"/>
  <c r="G67" i="5"/>
  <c r="G5" i="5"/>
  <c r="G71" i="5"/>
  <c r="G81" i="5"/>
  <c r="G4" i="5"/>
  <c r="G68" i="5"/>
  <c r="G78" i="5"/>
  <c r="G40" i="5"/>
  <c r="G9" i="5"/>
  <c r="G73" i="5"/>
  <c r="G28" i="5"/>
  <c r="G88" i="5"/>
  <c r="G82" i="5"/>
  <c r="G63" i="5"/>
  <c r="G35" i="5"/>
  <c r="G6" i="5"/>
  <c r="G33" i="5"/>
  <c r="G79" i="5"/>
  <c r="G30" i="5"/>
  <c r="G89" i="5"/>
  <c r="G57" i="5"/>
  <c r="G61" i="5"/>
  <c r="G43" i="5"/>
  <c r="G23" i="5"/>
  <c r="G101" i="5"/>
  <c r="G25" i="5"/>
  <c r="G86" i="5"/>
  <c r="G84" i="5"/>
  <c r="G11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G69" i="5"/>
  <c r="G98" i="5"/>
  <c r="G56" i="5"/>
  <c r="G100" i="5"/>
  <c r="G52" i="5"/>
  <c r="G54" i="5"/>
  <c r="G20" i="5"/>
  <c r="G18" i="5"/>
  <c r="G92" i="5"/>
  <c r="G93" i="5"/>
  <c r="G55" i="5"/>
  <c r="G74" i="5"/>
  <c r="G99" i="5"/>
  <c r="G27" i="5"/>
  <c r="G8" i="5"/>
  <c r="G87" i="5"/>
  <c r="G95" i="5"/>
  <c r="G37" i="5"/>
  <c r="G60" i="5"/>
  <c r="G66" i="5"/>
  <c r="G85" i="5"/>
  <c r="G41" i="5"/>
  <c r="G45" i="5"/>
  <c r="G64" i="5"/>
  <c r="G39" i="5"/>
  <c r="G12" i="5"/>
  <c r="G29" i="5"/>
  <c r="G21" i="5"/>
  <c r="G96" i="5"/>
  <c r="G34" i="5"/>
  <c r="G83" i="5"/>
  <c r="G26" i="5"/>
  <c r="G47" i="5"/>
  <c r="G44" i="5"/>
  <c r="G72" i="5"/>
  <c r="G14" i="5"/>
  <c r="G3" i="5"/>
  <c r="G46" i="5"/>
  <c r="G50" i="5"/>
  <c r="G38" i="5"/>
  <c r="G2" i="5"/>
  <c r="G10" i="5"/>
  <c r="G15" i="5"/>
  <c r="G19" i="5"/>
  <c r="G31" i="5"/>
  <c r="G32" i="5"/>
  <c r="G22" i="5"/>
  <c r="G80" i="5"/>
  <c r="G76" i="5"/>
  <c r="G7" i="5"/>
  <c r="G58" i="5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42" i="5"/>
  <c r="F79" i="5"/>
  <c r="F86" i="5"/>
  <c r="F36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F69" i="5"/>
  <c r="F40" i="5"/>
  <c r="F70" i="5"/>
  <c r="F45" i="5"/>
  <c r="F83" i="5"/>
  <c r="F66" i="5"/>
  <c r="F21" i="5"/>
  <c r="F24" i="5"/>
  <c r="F60" i="5"/>
  <c r="F35" i="5"/>
  <c r="F98" i="5"/>
  <c r="F52" i="5"/>
  <c r="F89" i="5"/>
  <c r="F97" i="5"/>
  <c r="F29" i="5"/>
  <c r="F59" i="5"/>
  <c r="F25" i="5"/>
  <c r="F87" i="5"/>
  <c r="F22" i="5"/>
  <c r="F92" i="5"/>
  <c r="F46" i="5"/>
  <c r="F23" i="5"/>
  <c r="F47" i="5"/>
  <c r="F17" i="5"/>
  <c r="F7" i="5"/>
  <c r="F50" i="5"/>
  <c r="F76" i="5"/>
  <c r="F15" i="5"/>
  <c r="F67" i="5"/>
  <c r="F61" i="5"/>
  <c r="F93" i="5"/>
  <c r="F82" i="5"/>
  <c r="F64" i="5"/>
  <c r="F78" i="5"/>
  <c r="F96" i="5"/>
  <c r="F68" i="5"/>
  <c r="F30" i="5"/>
  <c r="F6" i="5"/>
  <c r="F48" i="5"/>
  <c r="F49" i="5"/>
  <c r="F8" i="5"/>
  <c r="F53" i="5"/>
  <c r="F71" i="5"/>
  <c r="F34" i="5"/>
  <c r="F84" i="5"/>
  <c r="F54" i="5"/>
  <c r="F57" i="5"/>
  <c r="F3" i="5"/>
  <c r="F99" i="5"/>
  <c r="F13" i="5"/>
  <c r="F41" i="5"/>
  <c r="F20" i="5"/>
  <c r="F73" i="5"/>
  <c r="F31" i="5"/>
  <c r="F56" i="5"/>
  <c r="F44" i="5"/>
  <c r="F51" i="5"/>
  <c r="F12" i="5"/>
  <c r="F4" i="5"/>
  <c r="F80" i="5"/>
  <c r="F37" i="5"/>
  <c r="F14" i="5"/>
  <c r="F18" i="5"/>
  <c r="F63" i="5"/>
  <c r="F94" i="5"/>
  <c r="F85" i="5"/>
  <c r="F9" i="5"/>
  <c r="F62" i="5"/>
  <c r="F11" i="5"/>
  <c r="F39" i="5"/>
  <c r="F88" i="5"/>
  <c r="F90" i="5"/>
  <c r="F55" i="5"/>
  <c r="F81" i="5"/>
  <c r="F10" i="5"/>
  <c r="F26" i="5"/>
  <c r="F65" i="5"/>
  <c r="F77" i="5"/>
  <c r="F95" i="5"/>
  <c r="F38" i="5"/>
  <c r="F32" i="5"/>
  <c r="F75" i="5"/>
  <c r="F101" i="5"/>
  <c r="F74" i="5"/>
  <c r="F27" i="5"/>
  <c r="F2" i="5"/>
  <c r="F58" i="5"/>
  <c r="F16" i="5"/>
  <c r="F72" i="5"/>
  <c r="F100" i="5"/>
  <c r="F28" i="5"/>
  <c r="F33" i="5"/>
  <c r="F91" i="5"/>
  <c r="F43" i="5"/>
  <c r="F19" i="5"/>
  <c r="F5" i="5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54" i="5"/>
  <c r="H35" i="5"/>
  <c r="H70" i="5"/>
  <c r="H53" i="5"/>
  <c r="H61" i="5"/>
  <c r="H2" i="5"/>
  <c r="H55" i="5"/>
  <c r="H39" i="5"/>
  <c r="H78" i="5"/>
  <c r="H5" i="5"/>
  <c r="H8" i="5"/>
  <c r="H96" i="5"/>
  <c r="H36" i="5"/>
  <c r="H45" i="5"/>
  <c r="H91" i="5"/>
  <c r="H32" i="5"/>
  <c r="H80" i="5"/>
  <c r="H56" i="5"/>
  <c r="H63" i="5"/>
  <c r="H95" i="5"/>
  <c r="H23" i="5"/>
  <c r="H89" i="5"/>
  <c r="H7" i="5"/>
  <c r="H30" i="5"/>
  <c r="H26" i="5"/>
  <c r="H75" i="5"/>
  <c r="H72" i="5"/>
  <c r="H101" i="5"/>
  <c r="H64" i="5"/>
  <c r="H86" i="5"/>
  <c r="H73" i="5"/>
  <c r="H33" i="5"/>
  <c r="H93" i="5"/>
  <c r="H65" i="5"/>
  <c r="H88" i="5"/>
  <c r="H47" i="5"/>
  <c r="H74" i="5"/>
  <c r="H38" i="5"/>
  <c r="H12" i="5"/>
  <c r="H34" i="5"/>
  <c r="H66" i="5"/>
  <c r="H97" i="5"/>
  <c r="H79" i="5"/>
  <c r="H17" i="5"/>
  <c r="H50" i="5"/>
  <c r="H20" i="5"/>
  <c r="H94" i="5"/>
  <c r="H28" i="5"/>
  <c r="H44" i="5"/>
  <c r="H37" i="5"/>
  <c r="H58" i="5"/>
  <c r="H99" i="5"/>
  <c r="H31" i="5"/>
  <c r="H42" i="5"/>
  <c r="H68" i="5"/>
  <c r="H13" i="5"/>
  <c r="H82" i="5"/>
  <c r="H19" i="5"/>
  <c r="H46" i="5"/>
  <c r="H24" i="5"/>
  <c r="H43" i="5"/>
  <c r="H69" i="5"/>
  <c r="H40" i="5"/>
  <c r="H67" i="5"/>
  <c r="H9" i="5"/>
  <c r="H52" i="5"/>
  <c r="H98" i="5"/>
  <c r="H15" i="5"/>
  <c r="H62" i="5"/>
  <c r="H71" i="5"/>
  <c r="H100" i="5"/>
  <c r="H81" i="5"/>
  <c r="H76" i="5"/>
  <c r="H14" i="5"/>
  <c r="H48" i="5"/>
  <c r="H6" i="5"/>
  <c r="H59" i="5"/>
  <c r="H57" i="5"/>
  <c r="H25" i="5"/>
  <c r="H83" i="5"/>
  <c r="H41" i="5"/>
  <c r="H29" i="5"/>
  <c r="H90" i="5"/>
  <c r="H85" i="5"/>
  <c r="H77" i="5"/>
  <c r="H84" i="5"/>
  <c r="H49" i="5"/>
  <c r="H27" i="5"/>
  <c r="H60" i="5"/>
  <c r="H3" i="5"/>
  <c r="H11" i="5"/>
  <c r="H87" i="5"/>
  <c r="H92" i="5"/>
  <c r="H18" i="5"/>
  <c r="H51" i="5"/>
  <c r="H22" i="5"/>
  <c r="H21" i="5"/>
  <c r="H16" i="5"/>
  <c r="H10" i="5"/>
  <c r="H4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26" i="5"/>
  <c r="I6" i="5"/>
  <c r="I82" i="5"/>
  <c r="I55" i="5"/>
  <c r="I74" i="5"/>
  <c r="I52" i="5"/>
  <c r="I99" i="5"/>
  <c r="I76" i="5"/>
  <c r="I24" i="5"/>
  <c r="I21" i="5"/>
  <c r="I62" i="5"/>
  <c r="I11" i="5"/>
  <c r="I5" i="5"/>
  <c r="I95" i="5"/>
  <c r="I79" i="5"/>
  <c r="I94" i="5"/>
  <c r="I16" i="5"/>
  <c r="I61" i="5"/>
  <c r="I78" i="5"/>
  <c r="I100" i="5"/>
  <c r="I63" i="5"/>
  <c r="I59" i="5"/>
  <c r="I53" i="5"/>
  <c r="I68" i="5"/>
  <c r="I47" i="5"/>
  <c r="I20" i="5"/>
  <c r="I70" i="5"/>
  <c r="I83" i="5"/>
  <c r="I45" i="5"/>
  <c r="I19" i="5"/>
  <c r="I51" i="5"/>
  <c r="I37" i="5"/>
  <c r="I58" i="5"/>
  <c r="I81" i="5"/>
  <c r="I91" i="5"/>
  <c r="I22" i="5"/>
  <c r="I15" i="5"/>
  <c r="I49" i="5"/>
  <c r="I75" i="5"/>
  <c r="I36" i="5"/>
  <c r="I87" i="5"/>
  <c r="I67" i="5"/>
  <c r="I29" i="5"/>
  <c r="I4" i="5"/>
  <c r="I30" i="5"/>
  <c r="I10" i="5"/>
  <c r="I33" i="5"/>
  <c r="I8" i="5"/>
  <c r="I35" i="5"/>
  <c r="I92" i="5"/>
  <c r="I43" i="5"/>
  <c r="I88" i="5"/>
  <c r="I90" i="5"/>
  <c r="I77" i="5"/>
  <c r="I48" i="5"/>
  <c r="I18" i="5"/>
  <c r="I69" i="5"/>
  <c r="I23" i="5"/>
  <c r="I14" i="5"/>
  <c r="I98" i="5"/>
  <c r="I25" i="5"/>
  <c r="I72" i="5"/>
  <c r="I84" i="5"/>
  <c r="I28" i="5"/>
  <c r="I50" i="5"/>
  <c r="I9" i="5"/>
  <c r="I73" i="5"/>
  <c r="I93" i="5"/>
  <c r="I56" i="5"/>
  <c r="I101" i="5"/>
  <c r="I40" i="5"/>
  <c r="I57" i="5"/>
  <c r="I2" i="5"/>
  <c r="I60" i="5"/>
  <c r="I80" i="5"/>
  <c r="I85" i="5"/>
  <c r="I65" i="5"/>
  <c r="I13" i="5"/>
  <c r="I89" i="5"/>
  <c r="I86" i="5"/>
  <c r="I39" i="5"/>
  <c r="I97" i="5"/>
  <c r="I34" i="5"/>
  <c r="I64" i="5"/>
  <c r="I44" i="5"/>
  <c r="I38" i="5"/>
  <c r="I71" i="5"/>
  <c r="I7" i="5"/>
  <c r="I32" i="5"/>
  <c r="I42" i="5"/>
  <c r="I27" i="5"/>
  <c r="I54" i="5"/>
  <c r="I66" i="5"/>
  <c r="I31" i="5"/>
  <c r="I3" i="5"/>
  <c r="I12" i="5"/>
  <c r="I96" i="5"/>
  <c r="I17" i="5"/>
  <c r="I41" i="5"/>
  <c r="I46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19" i="5"/>
  <c r="E8" i="5"/>
  <c r="E74" i="5"/>
  <c r="E101" i="5"/>
  <c r="E55" i="5"/>
  <c r="E24" i="5"/>
  <c r="E77" i="5"/>
  <c r="E96" i="5"/>
  <c r="E32" i="5"/>
  <c r="E53" i="5"/>
  <c r="E21" i="5"/>
  <c r="E45" i="5"/>
  <c r="E49" i="5"/>
  <c r="E64" i="5"/>
  <c r="E88" i="5"/>
  <c r="E68" i="5"/>
  <c r="E6" i="5"/>
  <c r="E63" i="5"/>
  <c r="E17" i="5"/>
  <c r="E26" i="5"/>
  <c r="E95" i="5"/>
  <c r="E86" i="5"/>
  <c r="E59" i="5"/>
  <c r="E90" i="5"/>
  <c r="E83" i="5"/>
  <c r="E73" i="5"/>
  <c r="E65" i="5"/>
  <c r="E36" i="5"/>
  <c r="E50" i="5"/>
  <c r="E18" i="5"/>
  <c r="E4" i="5"/>
  <c r="E75" i="5"/>
  <c r="E85" i="5"/>
  <c r="E10" i="5"/>
  <c r="E35" i="5"/>
  <c r="E72" i="5"/>
  <c r="E30" i="5"/>
  <c r="E20" i="5"/>
  <c r="E16" i="5"/>
  <c r="E11" i="5"/>
  <c r="E38" i="5"/>
  <c r="E13" i="5"/>
  <c r="E34" i="5"/>
  <c r="E61" i="5"/>
  <c r="E12" i="5"/>
  <c r="E93" i="5"/>
  <c r="E80" i="5"/>
  <c r="E71" i="5"/>
  <c r="E91" i="5"/>
  <c r="E69" i="5"/>
  <c r="E46" i="5"/>
  <c r="E47" i="5"/>
  <c r="E14" i="5"/>
  <c r="E25" i="5"/>
  <c r="E48" i="5"/>
  <c r="E42" i="5"/>
  <c r="E99" i="5"/>
  <c r="E62" i="5"/>
  <c r="E31" i="5"/>
  <c r="E15" i="5"/>
  <c r="E70" i="5"/>
  <c r="E58" i="5"/>
  <c r="E76" i="5"/>
  <c r="E67" i="5"/>
  <c r="E92" i="5"/>
  <c r="E98" i="5"/>
  <c r="E43" i="5"/>
  <c r="E60" i="5"/>
  <c r="E27" i="5"/>
  <c r="E2" i="5"/>
  <c r="E87" i="5"/>
  <c r="E44" i="5"/>
  <c r="E56" i="5"/>
  <c r="E52" i="5"/>
  <c r="E66" i="5"/>
  <c r="E37" i="5"/>
  <c r="E9" i="5"/>
  <c r="E94" i="5"/>
  <c r="E81" i="5"/>
  <c r="E33" i="5"/>
  <c r="E97" i="5"/>
  <c r="E39" i="5"/>
  <c r="E28" i="5"/>
  <c r="E78" i="5"/>
  <c r="E82" i="5"/>
  <c r="E89" i="5"/>
  <c r="E100" i="5"/>
  <c r="E57" i="5"/>
  <c r="E51" i="5"/>
  <c r="E23" i="5"/>
  <c r="E40" i="5"/>
  <c r="E5" i="5"/>
  <c r="E41" i="5"/>
  <c r="E54" i="5"/>
  <c r="E22" i="5"/>
  <c r="E29" i="5"/>
  <c r="E84" i="5"/>
  <c r="E7" i="5"/>
  <c r="E79" i="5"/>
  <c r="E3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<sst xmlns="http://schemas.openxmlformats.org/spreadsheetml/2006/main" count="444" uniqueCount="268">
  <si>
    <t>^</t>
  </si>
  <si>
    <t>KANBAN</t>
  </si>
  <si>
    <t>COMPLETADO</t>
  </si>
  <si>
    <t>ALTA</t>
  </si>
  <si>
    <t>REQ001</t>
  </si>
  <si>
    <t>Crear la interfaz gráfica de inicio de sesión con campos para usuario y contraseña.</t>
  </si>
  <si>
    <t>Jeancarlo Santi</t>
  </si>
  <si>
    <t>Programar la validación de campos obligatorios y formato básico del usuario.</t>
  </si>
  <si>
    <t>Andres Cedeño</t>
  </si>
  <si>
    <t>Programar la verificación de credenciales contra la base de datos de usuarios.</t>
  </si>
  <si>
    <t>Erick Tufiño</t>
  </si>
  <si>
    <t>Programar la creación de sesión activa y redirección al panel según el perfil del usuario.</t>
  </si>
  <si>
    <t>Diseñar la interfaz y maquetación gráfica del formulario de registro de usuario.</t>
  </si>
  <si>
    <t>Programar la creación del formulario de registro y la persistencia de nuevos usuarios.</t>
  </si>
  <si>
    <t>EN PROGRESO</t>
  </si>
  <si>
    <t>REQ002</t>
  </si>
  <si>
    <t>Interfaz de recuperación de contraseña (email)</t>
  </si>
  <si>
    <t>Generación de OTP 6 dígitos con expiración</t>
  </si>
  <si>
    <t>Envío de OTP por correo</t>
  </si>
  <si>
    <t>Validación OTP y actualización de contraseña cifrada</t>
  </si>
  <si>
    <t>MEDIA</t>
  </si>
  <si>
    <t>REQ003</t>
  </si>
  <si>
    <t>Vista listado de usuarios (perfil/estado)</t>
  </si>
  <si>
    <t>Formulario editar perfil de usuario</t>
  </si>
  <si>
    <t>Actualización de perfil y permisos por rol</t>
  </si>
  <si>
    <t>Validación: no dejar el sistema sin Admin activo</t>
  </si>
  <si>
    <t>POR HACER</t>
  </si>
  <si>
    <t>REQ004</t>
  </si>
  <si>
    <t>UI para cargar Excel de copropietarios</t>
  </si>
  <si>
    <t>Validación extensión y columnas requeridas</t>
  </si>
  <si>
    <t>Lectura filas + validación cédula/correo/teléfono/casa</t>
  </si>
  <si>
    <t>Duplicados + creación usuarios + credenciales temporales</t>
  </si>
  <si>
    <t>Resumen importación (éxitos/errores)</t>
  </si>
  <si>
    <t>REQ005</t>
  </si>
  <si>
    <t>Tabla lista copropietarios registrados</t>
  </si>
  <si>
    <t>Filtros búsqueda (casa/nombre/perfil/estado)</t>
  </si>
  <si>
    <t>Ordenamiento por columnas (ASC/DESC)</t>
  </si>
  <si>
    <t>Exportar resultados a Excel/PDF</t>
  </si>
  <si>
    <t>REQ006</t>
  </si>
  <si>
    <t>Formulario filtros reportes (fecha/período/estado pago)</t>
  </si>
  <si>
    <t>Restricción de datos visibles por rol (RLS)</t>
  </si>
  <si>
    <t>Consulta pagos/estados de cuenta según filtros</t>
  </si>
  <si>
    <t>Tabla visualización del reporte</t>
  </si>
  <si>
    <t>Generación y descarga PDF del reporte</t>
  </si>
  <si>
    <t>REQ007</t>
  </si>
  <si>
    <t>Buscador copropietarios (casa/nombre)</t>
  </si>
  <si>
    <t>Formulario edición con datos precargados</t>
  </si>
  <si>
    <t>Validación nombre/cédula/correo/teléfono</t>
  </si>
  <si>
    <t>Actualización datos copropietario en BD</t>
  </si>
  <si>
    <t>Nueva contraseña temporal si cambia representante</t>
  </si>
  <si>
    <t>BAJA</t>
  </si>
  <si>
    <t>REQ008</t>
  </si>
  <si>
    <t>Buscador copropietario a eliminar</t>
  </si>
  <si>
    <t>Validación historial pagos/deudas antes de eliminar</t>
  </si>
  <si>
    <t>Confirmación/advertencia antes de eliminar</t>
  </si>
  <si>
    <t>Eliminación lógica + invalidación credenciales</t>
  </si>
  <si>
    <t>Pedro Yeye</t>
  </si>
  <si>
    <t>Pedro Mega</t>
  </si>
  <si>
    <t>Pedro Wave</t>
  </si>
  <si>
    <t>Pedro Olé</t>
  </si>
  <si>
    <t>NORMAL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</si>
  <si>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</si>
  <si>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</si>
  <si>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</si>
  <si>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</si>
  <si>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</si>
  <si>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</si>
  <si>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</si>
  <si>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EN ESPERA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</si>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</sst>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0"/>
      <color theme="1"/>
      <name val="Arial"/>
      <charset val="1"/>
    </font>
    <font>
      <sz val="10"/>
      <color rgb="FF000000"/>
      <name val="Arial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50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0" fontId="0" fillId="0" borderId="37" xfId="0" applyBorder="1" applyAlignment="1" applyProtection="1">
      <alignment vertical="center" wrapText="1"/>
      <protection locked="0"/>
    </xf>
    <xf numFmtId="0" fontId="17" fillId="18" borderId="41" xfId="0" applyFont="1" applyFill="1" applyBorder="1" applyAlignment="1" applyProtection="1">
      <alignment vertical="center" readingOrder="1"/>
      <protection locked="0"/>
    </xf>
    <xf numFmtId="0" fontId="17" fillId="0" borderId="42" xfId="0" applyFont="1" applyBorder="1" applyAlignment="1" applyProtection="1">
      <alignment vertical="center" readingOrder="1"/>
      <protection locked="0"/>
    </xf>
    <xf numFmtId="0" fontId="17" fillId="18" borderId="42" xfId="0" applyFont="1" applyFill="1" applyBorder="1" applyAlignment="1" applyProtection="1">
      <alignment vertical="center" readingOrder="1"/>
      <protection locked="0"/>
    </xf>
    <xf numFmtId="0" fontId="17" fillId="18" borderId="43" xfId="0" applyFont="1" applyFill="1" applyBorder="1" applyAlignment="1" applyProtection="1">
      <alignment vertical="center" readingOrder="1"/>
      <protection locked="0"/>
    </xf>
    <xf numFmtId="0" fontId="17" fillId="0" borderId="41" xfId="0" applyFont="1" applyBorder="1" applyAlignment="1" applyProtection="1">
      <alignment vertical="center" readingOrder="1"/>
      <protection locked="0"/>
    </xf>
    <xf numFmtId="0" fontId="17" fillId="0" borderId="43" xfId="0" applyFont="1" applyBorder="1" applyAlignment="1" applyProtection="1">
      <alignment vertical="center" readingOrder="1"/>
      <protection locked="0"/>
    </xf>
    <xf numFmtId="0" fontId="17" fillId="0" borderId="42" xfId="0" applyFont="1" applyBorder="1" applyAlignment="1" applyProtection="1">
      <alignment vertical="center" wrapText="1" readingOrder="1"/>
      <protection locked="0"/>
    </xf>
    <xf numFmtId="0" fontId="17" fillId="18" borderId="42" xfId="0" applyFont="1" applyFill="1" applyBorder="1" applyAlignment="1" applyProtection="1">
      <alignment vertical="center" wrapText="1" readingOrder="1"/>
      <protection locked="0"/>
    </xf>
    <xf numFmtId="14" fontId="17" fillId="18" borderId="46" xfId="0" applyNumberFormat="1" applyFont="1" applyFill="1" applyBorder="1" applyAlignment="1" applyProtection="1">
      <alignment vertical="center" readingOrder="1"/>
      <protection locked="0"/>
    </xf>
    <xf numFmtId="14" fontId="17" fillId="18" borderId="47" xfId="0" applyNumberFormat="1" applyFont="1" applyFill="1" applyBorder="1" applyAlignment="1" applyProtection="1">
      <alignment vertical="center" readingOrder="1"/>
      <protection locked="0"/>
    </xf>
    <xf numFmtId="14" fontId="17" fillId="0" borderId="46" xfId="0" applyNumberFormat="1" applyFont="1" applyBorder="1" applyAlignment="1" applyProtection="1">
      <alignment vertical="center" readingOrder="1"/>
      <protection locked="0"/>
    </xf>
    <xf numFmtId="14" fontId="17" fillId="0" borderId="47" xfId="0" applyNumberFormat="1" applyFont="1" applyBorder="1" applyAlignment="1" applyProtection="1">
      <alignment vertical="center" readingOrder="1"/>
      <protection locked="0"/>
    </xf>
    <xf numFmtId="14" fontId="17" fillId="18" borderId="44" xfId="0" applyNumberFormat="1" applyFont="1" applyFill="1" applyBorder="1" applyAlignment="1" applyProtection="1">
      <alignment vertical="center" readingOrder="1"/>
      <protection locked="0"/>
    </xf>
    <xf numFmtId="14" fontId="17" fillId="18" borderId="45" xfId="0" applyNumberFormat="1" applyFont="1" applyFill="1" applyBorder="1" applyAlignment="1" applyProtection="1">
      <alignment vertical="center" readingOrder="1"/>
      <protection locked="0"/>
    </xf>
    <xf numFmtId="14" fontId="17" fillId="0" borderId="46" xfId="0" applyNumberFormat="1" applyFont="1" applyBorder="1" applyAlignment="1" applyProtection="1">
      <alignment readingOrder="1"/>
      <protection locked="0"/>
    </xf>
    <xf numFmtId="14" fontId="17" fillId="18" borderId="46" xfId="0" applyNumberFormat="1" applyFont="1" applyFill="1" applyBorder="1" applyAlignment="1" applyProtection="1">
      <alignment readingOrder="1"/>
      <protection locked="0"/>
    </xf>
    <xf numFmtId="14" fontId="18" fillId="18" borderId="47" xfId="0" applyNumberFormat="1" applyFont="1" applyFill="1" applyBorder="1" applyAlignment="1" applyProtection="1">
      <alignment vertical="center" readingOrder="1"/>
      <protection locked="0"/>
    </xf>
    <xf numFmtId="14" fontId="17" fillId="18" borderId="48" xfId="0" applyNumberFormat="1" applyFont="1" applyFill="1" applyBorder="1" applyAlignment="1" applyProtection="1">
      <alignment vertical="center" readingOrder="1"/>
      <protection locked="0"/>
    </xf>
    <xf numFmtId="14" fontId="17" fillId="18" borderId="49" xfId="0" applyNumberFormat="1" applyFont="1" applyFill="1" applyBorder="1" applyAlignment="1" applyProtection="1">
      <alignment vertical="center" readingOrder="1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24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7" dataDxfId="6">
  <autoFilter ref="B1:G33" xr:uid="{0EAF28E5-0E22-47B4-AD65-B0AEBC07C8FD}"/>
  <tableColumns count="6">
    <tableColumn id="1" xr3:uid="{F0E73C1E-CCFA-4300-AC3D-E67E676E36BF}" name="Español" dataDxfId="5"/>
    <tableColumn id="2" xr3:uid="{36085523-D642-42FF-AE1D-87567505551D}" name="English" dataDxfId="4"/>
    <tableColumn id="3" xr3:uid="{3322FBB4-01E0-4235-A470-44717FDBDCC9}" name="Française" dataDxfId="3"/>
    <tableColumn id="4" xr3:uid="{2DF4B6A9-AFE6-4898-91D8-DC7E333ACF08}" name="Italiano" dataDxfId="2"/>
    <tableColumn id="5" xr3:uid="{9A0035F3-EC53-45C0-B33A-DBC7B4DB4D45}" name="Deutsch" dataDxfId="1"/>
    <tableColumn id="6" xr3:uid="{F02A4F88-64FE-47CB-8FD1-5FD4615BD74A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Normal="100" workbookViewId="0">
      <pane ySplit="4" topLeftCell="A5" activePane="bottomLeft" state="frozen"/>
      <selection pane="bottomLeft" activeCell="I189" sqref="I189"/>
    </sheetView>
  </sheetViews>
  <sheetFormatPr defaultColWidth="0" defaultRowHeight="14.45" zeroHeight="1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" thickBot="1"/>
    <row r="2" spans="2:51" ht="15" thickBot="1">
      <c r="B2" s="121" t="str">
        <f ca="1">Configura!$B$2</f>
        <v xml:space="preserve">                Tablero KANBAN v3 ©️            </v>
      </c>
      <c r="C2" s="121"/>
      <c r="D2" s="121"/>
      <c r="E2" s="29" t="str">
        <f ca="1">Idiomas!$A$22&amp;" "</f>
        <v xml:space="preserve">Tarjetas con </v>
      </c>
      <c r="F2" s="28">
        <v>8</v>
      </c>
      <c r="G2" s="23" t="str">
        <f ca="1">" "&amp;Idiomas!$A$23</f>
        <v xml:space="preserve"> líneas</v>
      </c>
      <c r="I2" s="29" t="str">
        <f ca="1">SUM(misFiltros)&amp;" "&amp;Idiomas!$A$24&amp;" "</f>
        <v xml:space="preserve">38 tareas asignadas a </v>
      </c>
      <c r="J2" s="28"/>
      <c r="K2" s="12"/>
      <c r="N2" s="29" t="str">
        <f ca="1">Idiomas!$A$25&amp;" "</f>
        <v xml:space="preserve">Con criticidad </v>
      </c>
      <c r="O2" s="28"/>
      <c r="S2" s="29" t="str">
        <f ca="1">Idiomas!$A$26&amp;" "</f>
        <v xml:space="preserve">Con inicio desde </v>
      </c>
      <c r="T2" s="30">
        <v>46189</v>
      </c>
      <c r="X2" s="29" t="str">
        <f ca="1">Idiomas!$A$27&amp;" "</f>
        <v xml:space="preserve">Con el texto </v>
      </c>
      <c r="Y2" s="28"/>
      <c r="AC2" s="29" t="str">
        <f ca="1">Idiomas!$A$28&amp;" "</f>
        <v xml:space="preserve">Con un retraso &gt; </v>
      </c>
      <c r="AD2" s="31"/>
      <c r="AE2" s="23" t="str">
        <f ca="1">" "&amp;Idiomas!$A$29</f>
        <v xml:space="preserve"> días</v>
      </c>
      <c r="AH2" s="29" t="str">
        <f ca="1">Idiomas!$A$33&amp;" "</f>
        <v xml:space="preserve">Con una duración &gt; </v>
      </c>
      <c r="AI2" s="31"/>
      <c r="AJ2" s="23" t="str">
        <f ca="1">" "&amp;Idiomas!$A$29</f>
        <v xml:space="preserve"> días</v>
      </c>
    </row>
    <row r="3" spans="2:51" ht="15" thickBot="1"/>
    <row r="4" spans="2:51" ht="21.6" thickBot="1">
      <c r="B4" s="26">
        <v>1</v>
      </c>
      <c r="C4" s="124" t="str" cm="1">
        <f t="array" aca="1" ref="C4" ca="1">IFERROR(INDEX(Configura!$B$9:$B$18,B4)&amp;" ("&amp;SUMIF(misEstados,B4,misFiltros)&amp;" de "&amp;SUM(misFiltros)&amp;")","")</f>
        <v>POR HACER (23 de 38)</v>
      </c>
      <c r="D4" s="124"/>
      <c r="E4" s="124"/>
      <c r="F4" s="9" t="s">
        <v>0</v>
      </c>
      <c r="G4" s="25">
        <f>B4+1</f>
        <v>2</v>
      </c>
      <c r="H4" s="124" t="str" cm="1">
        <f t="array" aca="1" ref="H4" ca="1">IFERROR(INDEX(Configura!$B$9:$B$18,G4)&amp;" ("&amp;SUMIF(misEstados,G4,misFiltros)&amp;" de "&amp;SUM(misFiltros)&amp;")","")</f>
        <v>EN PROGRESO (9 de 38)</v>
      </c>
      <c r="I4" s="124"/>
      <c r="J4" s="124"/>
      <c r="K4" s="9" t="s">
        <v>0</v>
      </c>
      <c r="L4" s="25">
        <f>G4+1</f>
        <v>3</v>
      </c>
      <c r="M4" s="124" t="str" cm="1">
        <f t="array" aca="1" ref="M4" ca="1">IFERROR(INDEX(Configura!$B$9:$B$18,L4)&amp;" ("&amp;SUMIF(misEstados,L4,misFiltros)&amp;" de "&amp;SUM(misFiltros)&amp;")","")</f>
        <v>EN ESPERA (0 de 38)</v>
      </c>
      <c r="N4" s="124"/>
      <c r="O4" s="124"/>
      <c r="P4" s="9" t="s">
        <v>0</v>
      </c>
      <c r="Q4" s="25">
        <f>L4+1</f>
        <v>4</v>
      </c>
      <c r="R4" s="124" t="str" cm="1">
        <f t="array" aca="1" ref="R4" ca="1">IFERROR(INDEX(Configura!$B$9:$B$18,Q4)&amp;" ("&amp;SUMIF(misEstados,Q4,misFiltros)&amp;" de "&amp;SUM(misFiltros)&amp;")","")</f>
        <v>COMPLETADO (6 de 38)</v>
      </c>
      <c r="S4" s="124"/>
      <c r="T4" s="124"/>
      <c r="U4" s="9" t="s">
        <v>0</v>
      </c>
      <c r="V4" s="25">
        <f>Q4+1</f>
        <v>5</v>
      </c>
      <c r="W4" s="124" t="str" cm="1">
        <f t="array" aca="1" ref="W4" ca="1">IFERROR(INDEX(Configura!$B$9:$B$18,V4)&amp;" ("&amp;SUMIF(misEstados,V4,misFiltros)&amp;" de "&amp;SUM(misFiltros)&amp;")","")</f>
        <v>ARCHIVADO (0 de 38)</v>
      </c>
      <c r="X4" s="124"/>
      <c r="Y4" s="124"/>
      <c r="Z4" s="10" t="s">
        <v>0</v>
      </c>
      <c r="AA4" s="25">
        <f>V4+1</f>
        <v>6</v>
      </c>
      <c r="AB4" s="124" t="str" cm="1">
        <f t="array" aca="1" ref="AB4" ca="1">IFERROR(INDEX(Configura!$B$9:$B$18,AA4)&amp;" ("&amp;SUMIF(misEstados,AA4,misFiltros)&amp;" de "&amp;SUM(misFiltros)&amp;")","")</f>
        <v>POR HACER (0 de 38)</v>
      </c>
      <c r="AC4" s="124"/>
      <c r="AD4" s="124"/>
      <c r="AE4" s="10" t="s">
        <v>0</v>
      </c>
      <c r="AF4" s="25">
        <f>AA4+1</f>
        <v>7</v>
      </c>
      <c r="AG4" s="124" t="str" cm="1">
        <f t="array" aca="1" ref="AG4" ca="1">IFERROR(INDEX(Configura!$B$9:$B$18,AF4)&amp;" ("&amp;SUMIF(misEstados,AF4,misFiltros)&amp;" de "&amp;SUM(misFiltros)&amp;")","")</f>
        <v>EN PROGRESO (0 de 38)</v>
      </c>
      <c r="AH4" s="124"/>
      <c r="AI4" s="124"/>
      <c r="AJ4" s="10" t="s">
        <v>0</v>
      </c>
      <c r="AK4" s="25">
        <f>AF4+1</f>
        <v>8</v>
      </c>
      <c r="AL4" s="124" t="str" cm="1">
        <f t="array" aca="1" ref="AL4" ca="1">IFERROR(INDEX(Configura!$B$9:$B$18,AK4)&amp;" ("&amp;SUMIF(misEstados,AK4,misFiltros)&amp;" de "&amp;SUM(misFiltros)&amp;")","")</f>
        <v xml:space="preserve"> (0 de 38)</v>
      </c>
      <c r="AM4" s="124"/>
      <c r="AN4" s="124"/>
      <c r="AO4" s="10" t="s">
        <v>0</v>
      </c>
      <c r="AP4" s="25">
        <f>AK4+1</f>
        <v>9</v>
      </c>
      <c r="AQ4" s="124" t="str" cm="1">
        <f t="array" aca="1" ref="AQ4" ca="1">IFERROR(INDEX(Configura!$B$9:$B$18,AP4)&amp;" ("&amp;SUMIF(misEstados,AP4,misFiltros)&amp;" de "&amp;SUM(misFiltros)&amp;")","")</f>
        <v xml:space="preserve"> (0 de 38)</v>
      </c>
      <c r="AR4" s="124"/>
      <c r="AS4" s="124"/>
      <c r="AT4" s="10" t="s">
        <v>0</v>
      </c>
      <c r="AU4" s="25">
        <f>AP4+1</f>
        <v>10</v>
      </c>
      <c r="AV4" s="124" t="str" cm="1">
        <f t="array" aca="1" ref="AV4" ca="1">IFERROR(INDEX(Configura!$B$9:$B$18,AU4)&amp;" ("&amp;SUMIF(misEstados,AU4,misFiltros)&amp;" de "&amp;SUM(misFiltros)&amp;")","")</f>
        <v xml:space="preserve"> (0 de 38)</v>
      </c>
      <c r="AW4" s="124"/>
      <c r="AX4" s="124"/>
      <c r="AY4" s="10" t="s">
        <v>0</v>
      </c>
    </row>
    <row r="5" spans="2:51" ht="15" thickTop="1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37:</v>
      </c>
      <c r="D6" s="122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REQ008</v>
      </c>
      <c r="E6" s="122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84:</v>
      </c>
      <c r="I6" s="122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0</v>
      </c>
      <c r="J6" s="122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22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22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6:</v>
      </c>
      <c r="S6" s="122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REQ001</v>
      </c>
      <c r="T6" s="122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22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22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22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22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22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22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22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22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22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22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22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22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22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Eliminación lógica + invalidación credenciales</v>
      </c>
      <c r="E7" s="122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22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0</v>
      </c>
      <c r="J7" s="122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22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22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22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Programar la creación del formulario de registro y la persistencia de nuevos usuarios.</v>
      </c>
      <c r="T7" s="122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22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22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22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22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22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22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22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22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22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22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22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22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22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46234</v>
      </c>
      <c r="E8" s="122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22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0</v>
      </c>
      <c r="J8" s="122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22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22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22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46193</v>
      </c>
      <c r="T8" s="122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22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22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22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22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22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22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22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22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22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22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22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22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22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46235</v>
      </c>
      <c r="E9" s="122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22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0</v>
      </c>
      <c r="J9" s="122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22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22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22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46194</v>
      </c>
      <c r="T9" s="122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22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22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22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22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22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22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22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22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22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22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22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22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22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0</v>
      </c>
      <c r="E10" s="122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22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0</v>
      </c>
      <c r="J10" s="122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22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22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22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46195</v>
      </c>
      <c r="T10" s="122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22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22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22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22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22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22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22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22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22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22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22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22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22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22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22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22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22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22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22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3 días</v>
      </c>
      <c r="T11" s="122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22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22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22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22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22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22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22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22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22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22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22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22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22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22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22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22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22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22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22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1 días</v>
      </c>
      <c r="T12" s="122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22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22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22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22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22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22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22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22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22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22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22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22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22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Erick Tufiño</v>
      </c>
      <c r="E13" s="122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22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0</v>
      </c>
      <c r="J13" s="122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22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22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22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Erick Tufiño</v>
      </c>
      <c r="T13" s="122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22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22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22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22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22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22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22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22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22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22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22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22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22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22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22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22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22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22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22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22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22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22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22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22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22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22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22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22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22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22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22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22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36:</v>
      </c>
      <c r="D15" s="122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REQ008</v>
      </c>
      <c r="E15" s="122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14:</v>
      </c>
      <c r="I15" s="122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REQ003</v>
      </c>
      <c r="J15" s="122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22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22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5:</v>
      </c>
      <c r="S15" s="122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REQ001</v>
      </c>
      <c r="T15" s="122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22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22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22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22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22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22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22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22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22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22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22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22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22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Confirmación/advertencia antes de eliminar</v>
      </c>
      <c r="E16" s="122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22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Validación: no dejar el sistema sin Admin activo</v>
      </c>
      <c r="J16" s="122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22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22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22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Diseñar la interfaz y maquetación gráfica del formulario de registro de usuario.</v>
      </c>
      <c r="T16" s="122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22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22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22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22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22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22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22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22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22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22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22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22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22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46233</v>
      </c>
      <c r="E17" s="122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22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46202</v>
      </c>
      <c r="J17" s="122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22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22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22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46193</v>
      </c>
      <c r="T17" s="122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22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22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22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22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22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22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22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22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22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22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22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22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22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46234</v>
      </c>
      <c r="E18" s="122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22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46203</v>
      </c>
      <c r="J18" s="122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22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22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22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46194</v>
      </c>
      <c r="T18" s="122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22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22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22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22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22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22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22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22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22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22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22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22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22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0</v>
      </c>
      <c r="E19" s="122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22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46203</v>
      </c>
      <c r="J19" s="122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22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22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22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46195</v>
      </c>
      <c r="T19" s="122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22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22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22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22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22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22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22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22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22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22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22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22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22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22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22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2 días</v>
      </c>
      <c r="J20" s="122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22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22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22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3 días</v>
      </c>
      <c r="T20" s="122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22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22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22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22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22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22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22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22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22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22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22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22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22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22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22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22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22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22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22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1 días</v>
      </c>
      <c r="T21" s="122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22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22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22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22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22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22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22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22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22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22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22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22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22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Andres Cedeño</v>
      </c>
      <c r="E22" s="122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22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Andres Cedeño</v>
      </c>
      <c r="J22" s="122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22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22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22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Jeancarlo Santi</v>
      </c>
      <c r="T22" s="122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22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22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22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22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22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22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22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22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22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22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22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22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22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22" t="e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>#VALUE!</v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22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22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22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22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22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22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22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22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22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22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22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22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22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22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22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22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22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22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>Tarea 35:</v>
      </c>
      <c r="D24" s="122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>REQ008</v>
      </c>
      <c r="E24" s="122" t="e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>#VALUE!</v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13:</v>
      </c>
      <c r="I24" s="122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REQ003</v>
      </c>
      <c r="J24" s="122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22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22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4:</v>
      </c>
      <c r="S24" s="122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REQ001</v>
      </c>
      <c r="T24" s="122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22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22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22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22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22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22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22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22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22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22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22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22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>Descripción:</v>
      </c>
      <c r="D25" s="122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>Validación historial pagos/deudas antes de eliminar</v>
      </c>
      <c r="E25" s="122" t="e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>#VALUE!</v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22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Actualización de perfil y permisos por rol</v>
      </c>
      <c r="J25" s="122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22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22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22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Programar la creación de sesión activa y redirección al panel según el perfil del usuario.</v>
      </c>
      <c r="T25" s="122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22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22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22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22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22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22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22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22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22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22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22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22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>Inicio:</v>
      </c>
      <c r="D26" s="122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>46232</v>
      </c>
      <c r="E26" s="122" t="e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>#VALUE!</v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22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46201</v>
      </c>
      <c r="J26" s="122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22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22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22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46193</v>
      </c>
      <c r="T26" s="122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22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22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22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22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22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22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22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22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22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22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22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22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>Previsto:</v>
      </c>
      <c r="D27" s="122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>46233</v>
      </c>
      <c r="E27" s="122" t="e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>#VALUE!</v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22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46203</v>
      </c>
      <c r="J27" s="122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22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22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22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46194</v>
      </c>
      <c r="T27" s="122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22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22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22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22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22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22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22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22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22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22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22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22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>Final:</v>
      </c>
      <c r="D28" s="122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>0</v>
      </c>
      <c r="E28" s="122" t="e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>#VALUE!</v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22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46201</v>
      </c>
      <c r="J28" s="122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22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22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22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46195</v>
      </c>
      <c r="T28" s="122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22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22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22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22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22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22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22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22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22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22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22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22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>Duración:</v>
      </c>
      <c r="D29" s="122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22" t="e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>#VALUE!</v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22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1 días</v>
      </c>
      <c r="J29" s="122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22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22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22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3 días</v>
      </c>
      <c r="T29" s="122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22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22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22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22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22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22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22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22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22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22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22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22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>Retraso:</v>
      </c>
      <c r="D30" s="122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22" t="e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>#VALUE!</v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22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0 días</v>
      </c>
      <c r="J30" s="122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22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22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22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1 días</v>
      </c>
      <c r="T30" s="122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22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22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22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22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22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22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22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22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22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22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22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22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>Asignado:</v>
      </c>
      <c r="D31" s="122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>Jeancarlo Santi</v>
      </c>
      <c r="E31" s="122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22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Erick Tufiño</v>
      </c>
      <c r="J31" s="122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22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22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22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Jeancarlo Santi</v>
      </c>
      <c r="T31" s="122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22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22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22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22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22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22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22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22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22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22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22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22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22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22" t="e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>#VALUE!</v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22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22" t="e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>#VALUE!</v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22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22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22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22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22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22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22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22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22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22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22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22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22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22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22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22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>Tarea 34:</v>
      </c>
      <c r="D33" s="122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>REQ008</v>
      </c>
      <c r="E33" s="122" t="e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>#VALUE!</v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>Tarea 12:</v>
      </c>
      <c r="I33" s="122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>REQ003</v>
      </c>
      <c r="J33" s="122" t="e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>#VALUE!</v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22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22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3:</v>
      </c>
      <c r="S33" s="122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REQ001</v>
      </c>
      <c r="T33" s="122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22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22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22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22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22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22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22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22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22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22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22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22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>Descripción:</v>
      </c>
      <c r="D34" s="122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>Buscador copropietario a eliminar</v>
      </c>
      <c r="E34" s="122" t="e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>#VALUE!</v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>Descripción:</v>
      </c>
      <c r="I34" s="122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>Formulario editar perfil de usuario</v>
      </c>
      <c r="J34" s="122" t="e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>#VALUE!</v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22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22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22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Programar la verificación de credenciales contra la base de datos de usuarios.</v>
      </c>
      <c r="T34" s="122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22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22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22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22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22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22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22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22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22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22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22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22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>Inicio:</v>
      </c>
      <c r="D35" s="122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>46232</v>
      </c>
      <c r="E35" s="122" t="e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>#VALUE!</v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>Inicio:</v>
      </c>
      <c r="I35" s="122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>46199</v>
      </c>
      <c r="J35" s="122" t="e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>#VALUE!</v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22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22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22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46191</v>
      </c>
      <c r="T35" s="122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22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22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22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22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22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22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22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22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22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22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22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22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>Previsto:</v>
      </c>
      <c r="D36" s="122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>46233</v>
      </c>
      <c r="E36" s="122" t="e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>#VALUE!</v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>Previsto:</v>
      </c>
      <c r="I36" s="122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>46200</v>
      </c>
      <c r="J36" s="122" t="e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>#VALUE!</v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22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22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22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46193</v>
      </c>
      <c r="T36" s="122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22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22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22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22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22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22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22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22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22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22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22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22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>Final:</v>
      </c>
      <c r="D37" s="122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>0</v>
      </c>
      <c r="E37" s="122" t="e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>#VALUE!</v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>Final:</v>
      </c>
      <c r="I37" s="122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>46201</v>
      </c>
      <c r="J37" s="122" t="e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>#VALUE!</v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22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22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22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46193</v>
      </c>
      <c r="T37" s="122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22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22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22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22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22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22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22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22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22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22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22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22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>Duración:</v>
      </c>
      <c r="D38" s="122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22" t="e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>#VALUE!</v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>Duración:</v>
      </c>
      <c r="I38" s="122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>3 días</v>
      </c>
      <c r="J38" s="122" t="e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>#VALUE!</v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22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22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22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3 días</v>
      </c>
      <c r="T38" s="122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22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22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22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22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22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22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22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22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22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22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22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22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>Retraso:</v>
      </c>
      <c r="D39" s="122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22" t="e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>#VALUE!</v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>Retraso:</v>
      </c>
      <c r="I39" s="122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>1 días</v>
      </c>
      <c r="J39" s="122" t="e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>#VALUE!</v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22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22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22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22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22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22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22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22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22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22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22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22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22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22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22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22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>Asignado:</v>
      </c>
      <c r="D40" s="122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>Erick Tufiño</v>
      </c>
      <c r="E40" s="122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>Asignado:</v>
      </c>
      <c r="I40" s="122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>Jeancarlo Santi</v>
      </c>
      <c r="J40" s="122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22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22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22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Erick Tufiño</v>
      </c>
      <c r="T40" s="122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22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22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22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22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22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22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22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22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22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22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22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22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22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22" t="e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>#VALUE!</v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22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22" t="e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>#VALUE!</v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22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22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22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22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22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22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22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22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22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22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22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22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22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22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22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22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>Tarea 33:</v>
      </c>
      <c r="D42" s="122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>REQ007</v>
      </c>
      <c r="E42" s="122" t="e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>#VALUE!</v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>Tarea 11:</v>
      </c>
      <c r="I42" s="122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>REQ003</v>
      </c>
      <c r="J42" s="122" t="e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>#VALUE!</v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22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22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2:</v>
      </c>
      <c r="S42" s="122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REQ001</v>
      </c>
      <c r="T42" s="122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22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22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22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22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22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22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22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22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22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22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22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22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>Descripción:</v>
      </c>
      <c r="D43" s="122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>Nueva contraseña temporal si cambia representante</v>
      </c>
      <c r="E43" s="122" t="e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>#VALUE!</v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>Descripción:</v>
      </c>
      <c r="I43" s="122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>Vista listado de usuarios (perfil/estado)</v>
      </c>
      <c r="J43" s="122" t="e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>#VALUE!</v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22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22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22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Programar la validación de campos obligatorios y formato básico del usuario.</v>
      </c>
      <c r="T43" s="122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22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22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22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22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22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22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22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22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22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22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22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22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>Inicio:</v>
      </c>
      <c r="D44" s="122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>46230</v>
      </c>
      <c r="E44" s="122" t="e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>#VALUE!</v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>Inicio:</v>
      </c>
      <c r="I44" s="122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>46199</v>
      </c>
      <c r="J44" s="122" t="e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>#VALUE!</v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22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22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22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46190</v>
      </c>
      <c r="T44" s="122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22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22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22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22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22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22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22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22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22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22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22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22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>Previsto:</v>
      </c>
      <c r="D45" s="122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>46231</v>
      </c>
      <c r="E45" s="122" t="e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>#VALUE!</v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>Previsto:</v>
      </c>
      <c r="I45" s="122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>46200</v>
      </c>
      <c r="J45" s="122" t="e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>#VALUE!</v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22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22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22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46191</v>
      </c>
      <c r="T45" s="122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22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22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22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22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22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22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22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22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22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22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22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22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>Final:</v>
      </c>
      <c r="D46" s="122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>0</v>
      </c>
      <c r="E46" s="122" t="e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>#VALUE!</v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>Final:</v>
      </c>
      <c r="I46" s="122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>46200</v>
      </c>
      <c r="J46" s="122" t="e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>#VALUE!</v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22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22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22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46191</v>
      </c>
      <c r="T46" s="122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22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22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22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22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22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22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22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22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22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22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22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22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>Duración:</v>
      </c>
      <c r="D47" s="122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22" t="e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>#VALUE!</v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>Duración:</v>
      </c>
      <c r="I47" s="122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>2 días</v>
      </c>
      <c r="J47" s="122" t="e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>#VALUE!</v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22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22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22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22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22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22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22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22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22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22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22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22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22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22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22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22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>Retraso:</v>
      </c>
      <c r="D48" s="122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22" t="e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>#VALUE!</v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>Retraso:</v>
      </c>
      <c r="I48" s="122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>0 días</v>
      </c>
      <c r="J48" s="122" t="e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>#VALUE!</v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22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22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22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22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22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22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22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22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22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22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22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22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22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22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22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22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>Asignado:</v>
      </c>
      <c r="D49" s="122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>Andres Cedeño</v>
      </c>
      <c r="E49" s="122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>Asignado:</v>
      </c>
      <c r="I49" s="122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>Andres Cedeño</v>
      </c>
      <c r="J49" s="122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22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22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22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Andres Cedeño</v>
      </c>
      <c r="T49" s="122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22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22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22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22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22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22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22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22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22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22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22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22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22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22" t="e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>#VALUE!</v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22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22" t="e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>#VALUE!</v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22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22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22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22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22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22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22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22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22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22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22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22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22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22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22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22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>Tarea 32:</v>
      </c>
      <c r="D51" s="122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>REQ007</v>
      </c>
      <c r="E51" s="122" t="e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>#VALUE!</v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>Tarea 10:</v>
      </c>
      <c r="I51" s="122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>REQ002</v>
      </c>
      <c r="J51" s="122" t="e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>#VALUE!</v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22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22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1:</v>
      </c>
      <c r="S51" s="122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REQ001</v>
      </c>
      <c r="T51" s="122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22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22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22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22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22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22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22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22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22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22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22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22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>Descripción:</v>
      </c>
      <c r="D52" s="122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>Actualización datos copropietario en BD</v>
      </c>
      <c r="E52" s="122" t="e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>#VALUE!</v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>Descripción:</v>
      </c>
      <c r="I52" s="122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>Validación OTP y actualización de contraseña cifrada</v>
      </c>
      <c r="J52" s="122" t="e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>#VALUE!</v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22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22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22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Crear la interfaz gráfica de inicio de sesión con campos para usuario y contraseña.</v>
      </c>
      <c r="T52" s="122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22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22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22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22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22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22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22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22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22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22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22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22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>Inicio:</v>
      </c>
      <c r="D53" s="122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>46229</v>
      </c>
      <c r="E53" s="122" t="e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>#VALUE!</v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>Inicio:</v>
      </c>
      <c r="I53" s="122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>46197</v>
      </c>
      <c r="J53" s="122" t="e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>#VALUE!</v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22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22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22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46189</v>
      </c>
      <c r="T53" s="122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22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22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22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22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22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22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22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22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22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22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22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22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>Previsto:</v>
      </c>
      <c r="D54" s="122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>46230</v>
      </c>
      <c r="E54" s="122" t="e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>#VALUE!</v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>Previsto:</v>
      </c>
      <c r="I54" s="122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>46198</v>
      </c>
      <c r="J54" s="122" t="e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>#VALUE!</v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22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22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22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46191</v>
      </c>
      <c r="T54" s="122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22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22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22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22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22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22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22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22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22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22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22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22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>Final:</v>
      </c>
      <c r="D55" s="122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>0</v>
      </c>
      <c r="E55" s="122" t="e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>#VALUE!</v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>Final:</v>
      </c>
      <c r="I55" s="122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>46198</v>
      </c>
      <c r="J55" s="122" t="e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>#VALUE!</v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22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22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22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46191</v>
      </c>
      <c r="T55" s="122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22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22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22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22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22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22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22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22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22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22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22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22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>Duración:</v>
      </c>
      <c r="D56" s="122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22" t="e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>#VALUE!</v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>Duración:</v>
      </c>
      <c r="I56" s="122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>2 días</v>
      </c>
      <c r="J56" s="122" t="e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>#VALUE!</v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22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22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22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3 días</v>
      </c>
      <c r="T56" s="122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22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22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22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22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22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22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22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22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22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22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22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22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>Retraso:</v>
      </c>
      <c r="D57" s="122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22" t="e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>#VALUE!</v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>Retraso:</v>
      </c>
      <c r="I57" s="122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>0 días</v>
      </c>
      <c r="J57" s="122" t="e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>#VALUE!</v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22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22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22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22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22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22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22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22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22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22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22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22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22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22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22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22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>Asignado:</v>
      </c>
      <c r="D58" s="122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>Jeancarlo Santi</v>
      </c>
      <c r="E58" s="122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>Asignado:</v>
      </c>
      <c r="I58" s="122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>Erick Tufiño</v>
      </c>
      <c r="J58" s="122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22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22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22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Jeancarlo Santi</v>
      </c>
      <c r="T58" s="122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22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22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22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22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22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22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22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22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22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22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22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22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22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22" t="e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>#VALUE!</v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22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22" t="e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>#VALUE!</v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22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22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22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22" t="str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/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22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22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22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22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22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22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22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22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22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22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22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22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>Tarea 31:</v>
      </c>
      <c r="D60" s="122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>REQ007</v>
      </c>
      <c r="E60" s="122" t="e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>#VALUE!</v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>Tarea 9:</v>
      </c>
      <c r="I60" s="122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>REQ002</v>
      </c>
      <c r="J60" s="122" t="e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>#VALUE!</v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22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22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/>
      </c>
      <c r="S60" s="122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/>
      </c>
      <c r="T60" s="122" t="str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/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22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22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22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22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22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22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22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22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22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22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22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22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>Descripción:</v>
      </c>
      <c r="D61" s="122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>Validación nombre/cédula/correo/teléfono</v>
      </c>
      <c r="E61" s="122" t="e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>#VALUE!</v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>Descripción:</v>
      </c>
      <c r="I61" s="122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>Envío de OTP por correo</v>
      </c>
      <c r="J61" s="122" t="e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>#VALUE!</v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22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22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/>
      </c>
      <c r="S61" s="122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/>
      </c>
      <c r="T61" s="122" t="str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/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22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22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22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22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22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22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22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22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22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22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22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22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>Inicio:</v>
      </c>
      <c r="D62" s="122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>46228</v>
      </c>
      <c r="E62" s="122" t="e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>#VALUE!</v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>Inicio:</v>
      </c>
      <c r="I62" s="122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>46196</v>
      </c>
      <c r="J62" s="122" t="e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>#VALUE!</v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22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22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/>
      </c>
      <c r="S62" s="122" t="str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/>
      </c>
      <c r="T62" s="122" t="str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/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22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22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22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22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22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22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22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22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22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22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22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22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>Previsto:</v>
      </c>
      <c r="D63" s="122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>46229</v>
      </c>
      <c r="E63" s="122" t="e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>#VALUE!</v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>Previsto:</v>
      </c>
      <c r="I63" s="122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>46197</v>
      </c>
      <c r="J63" s="122" t="e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>#VALUE!</v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22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22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/>
      </c>
      <c r="S63" s="122" t="str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/>
      </c>
      <c r="T63" s="122" t="str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/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22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22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22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22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22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22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22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22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22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22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22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22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>Final:</v>
      </c>
      <c r="D64" s="122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>0</v>
      </c>
      <c r="E64" s="122" t="e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>#VALUE!</v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>Final:</v>
      </c>
      <c r="I64" s="122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>46197</v>
      </c>
      <c r="J64" s="122" t="e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>#VALUE!</v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22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22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/>
      </c>
      <c r="S64" s="122" t="str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/>
      </c>
      <c r="T64" s="122" t="str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/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22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22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22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22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22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22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22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22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22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22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22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22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>Duración:</v>
      </c>
      <c r="D65" s="122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22" t="e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>#VALUE!</v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>Duración:</v>
      </c>
      <c r="I65" s="122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>2 días</v>
      </c>
      <c r="J65" s="122" t="e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>#VALUE!</v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22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22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/>
      </c>
      <c r="S65" s="122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/>
      </c>
      <c r="T65" s="122" t="str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/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22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22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22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22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22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22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22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22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22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22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22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22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>Retraso:</v>
      </c>
      <c r="D66" s="122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22" t="e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>#VALUE!</v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>Retraso:</v>
      </c>
      <c r="I66" s="122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>0 días</v>
      </c>
      <c r="J66" s="122" t="e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>#VALUE!</v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22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22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/>
      </c>
      <c r="S66" s="122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/>
      </c>
      <c r="T66" s="122" t="str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/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22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22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22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22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22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22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22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22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22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22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22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22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>Asignado:</v>
      </c>
      <c r="D67" s="122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>Erick Tufiño</v>
      </c>
      <c r="E67" s="122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>Asignado:</v>
      </c>
      <c r="I67" s="122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>Andres Cedeño</v>
      </c>
      <c r="J67" s="122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22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22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/>
      </c>
      <c r="S67" s="122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/>
      </c>
      <c r="T67" s="122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22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22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22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22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22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22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22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22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22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22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22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22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22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22" t="e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>#VALUE!</v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22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22" t="e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>#VALUE!</v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22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22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22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22" t="str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/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22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22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22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22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22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22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22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22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22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22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22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22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>Tarea 30:</v>
      </c>
      <c r="D69" s="122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>REQ007</v>
      </c>
      <c r="E69" s="122" t="e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>#VALUE!</v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>Tarea 8:</v>
      </c>
      <c r="I69" s="122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>REQ002</v>
      </c>
      <c r="J69" s="122" t="e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>#VALUE!</v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22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22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/>
      </c>
      <c r="S69" s="122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/>
      </c>
      <c r="T69" s="122" t="str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/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22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22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22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22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22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22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22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22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22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22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22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22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>Descripción:</v>
      </c>
      <c r="D70" s="122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>Formulario edición con datos precargados</v>
      </c>
      <c r="E70" s="122" t="e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>#VALUE!</v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>Descripción:</v>
      </c>
      <c r="I70" s="122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>Generación de OTP 6 dígitos con expiración</v>
      </c>
      <c r="J70" s="122" t="e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>#VALUE!</v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22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22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/>
      </c>
      <c r="S70" s="122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/>
      </c>
      <c r="T70" s="122" t="str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/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22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22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22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22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22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22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22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22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22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22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22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22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>Inicio:</v>
      </c>
      <c r="D71" s="122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>46227</v>
      </c>
      <c r="E71" s="122" t="e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>#VALUE!</v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>Inicio:</v>
      </c>
      <c r="I71" s="122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>46195</v>
      </c>
      <c r="J71" s="122" t="e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>#VALUE!</v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22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22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/>
      </c>
      <c r="S71" s="122" t="str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/>
      </c>
      <c r="T71" s="122" t="str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/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22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22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22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22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22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22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22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22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22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22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22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22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>Previsto:</v>
      </c>
      <c r="D72" s="122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>46228</v>
      </c>
      <c r="E72" s="122" t="e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>#VALUE!</v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>Previsto:</v>
      </c>
      <c r="I72" s="122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>46196</v>
      </c>
      <c r="J72" s="122" t="e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>#VALUE!</v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22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22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/>
      </c>
      <c r="S72" s="122" t="str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/>
      </c>
      <c r="T72" s="122" t="str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/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22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22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22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22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22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22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22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22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22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22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22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22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>Final:</v>
      </c>
      <c r="D73" s="122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>0</v>
      </c>
      <c r="E73" s="122" t="e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>#VALUE!</v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>Final:</v>
      </c>
      <c r="I73" s="122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>46196</v>
      </c>
      <c r="J73" s="122" t="e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>#VALUE!</v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22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22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/>
      </c>
      <c r="S73" s="122" t="str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/>
      </c>
      <c r="T73" s="122" t="str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/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22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22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22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22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22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22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22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22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22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22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22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22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>Duración:</v>
      </c>
      <c r="D74" s="122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22" t="e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>#VALUE!</v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>Duración:</v>
      </c>
      <c r="I74" s="122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>2 días</v>
      </c>
      <c r="J74" s="122" t="e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>#VALUE!</v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22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22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/>
      </c>
      <c r="S74" s="122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/>
      </c>
      <c r="T74" s="122" t="str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/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22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22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22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22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22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22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22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22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22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22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22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22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>Retraso:</v>
      </c>
      <c r="D75" s="122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22" t="e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>#VALUE!</v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>Retraso:</v>
      </c>
      <c r="I75" s="122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>0 días</v>
      </c>
      <c r="J75" s="122" t="e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>#VALUE!</v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22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22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/>
      </c>
      <c r="S75" s="122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/>
      </c>
      <c r="T75" s="122" t="str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/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22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22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22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22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22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22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22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22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22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22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22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22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>Asignado:</v>
      </c>
      <c r="D76" s="122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>Andres Cedeño</v>
      </c>
      <c r="E76" s="122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>Asignado:</v>
      </c>
      <c r="I76" s="122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>Jeancarlo Santi</v>
      </c>
      <c r="J76" s="122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22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22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/>
      </c>
      <c r="S76" s="122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/>
      </c>
      <c r="T76" s="122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22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22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22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22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22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22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22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22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22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22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22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22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22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22" t="e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>#VALUE!</v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22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22" t="e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>#VALUE!</v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22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22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22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22" t="str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/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22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22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22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22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22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22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22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22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22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22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22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22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>Tarea 29:</v>
      </c>
      <c r="D78" s="122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>REQ007</v>
      </c>
      <c r="E78" s="122" t="e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>#VALUE!</v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>Tarea 7:</v>
      </c>
      <c r="I78" s="122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>REQ002</v>
      </c>
      <c r="J78" s="122" t="e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>#VALUE!</v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22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22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/>
      </c>
      <c r="S78" s="122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/>
      </c>
      <c r="T78" s="122" t="str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/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22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22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22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22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22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22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22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22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22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22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22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22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>Descripción:</v>
      </c>
      <c r="D79" s="122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>Buscador copropietarios (casa/nombre)</v>
      </c>
      <c r="E79" s="122" t="e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>#VALUE!</v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>Descripción:</v>
      </c>
      <c r="I79" s="122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>Interfaz de recuperación de contraseña (email)</v>
      </c>
      <c r="J79" s="122" t="e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>#VALUE!</v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22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22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/>
      </c>
      <c r="S79" s="122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/>
      </c>
      <c r="T79" s="122" t="str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/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22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22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22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22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22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22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22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22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22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22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22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22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>Inicio:</v>
      </c>
      <c r="D80" s="122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>46226</v>
      </c>
      <c r="E80" s="122" t="e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>#VALUE!</v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>Inicio:</v>
      </c>
      <c r="I80" s="122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>46195</v>
      </c>
      <c r="J80" s="122" t="e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>#VALUE!</v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22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22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/>
      </c>
      <c r="S80" s="122" t="str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/>
      </c>
      <c r="T80" s="122" t="str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/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22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22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22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22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22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22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22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22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22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22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22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22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>Previsto:</v>
      </c>
      <c r="D81" s="122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>46227</v>
      </c>
      <c r="E81" s="122" t="e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>#VALUE!</v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>Previsto:</v>
      </c>
      <c r="I81" s="122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>46196</v>
      </c>
      <c r="J81" s="122" t="e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>#VALUE!</v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22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22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/>
      </c>
      <c r="S81" s="122" t="str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/>
      </c>
      <c r="T81" s="122" t="str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/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22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22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22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22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22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22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22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22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22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22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22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22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>Final:</v>
      </c>
      <c r="D82" s="122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>0</v>
      </c>
      <c r="E82" s="122" t="e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>#VALUE!</v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>Final:</v>
      </c>
      <c r="I82" s="122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>46196</v>
      </c>
      <c r="J82" s="122" t="e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>#VALUE!</v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22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22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/>
      </c>
      <c r="S82" s="122" t="str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/>
      </c>
      <c r="T82" s="122" t="str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/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22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22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22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22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22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22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22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22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22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22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22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22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>Duración:</v>
      </c>
      <c r="D83" s="122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22" t="e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>#VALUE!</v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>Duración:</v>
      </c>
      <c r="I83" s="122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>2 días</v>
      </c>
      <c r="J83" s="122" t="e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>#VALUE!</v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22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22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/>
      </c>
      <c r="S83" s="122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/>
      </c>
      <c r="T83" s="122" t="str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/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22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22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22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22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22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22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22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22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22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22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22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22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>Retraso:</v>
      </c>
      <c r="D84" s="122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22" t="e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>#VALUE!</v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>Retraso:</v>
      </c>
      <c r="I84" s="122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>0 días</v>
      </c>
      <c r="J84" s="122" t="e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>#VALUE!</v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22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22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/>
      </c>
      <c r="S84" s="122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/>
      </c>
      <c r="T84" s="122" t="str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/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22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22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22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22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22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22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22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22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22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22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22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22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>Asignado:</v>
      </c>
      <c r="D85" s="122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>Jeancarlo Santi</v>
      </c>
      <c r="E85" s="122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>Asignado:</v>
      </c>
      <c r="I85" s="122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>Erick Tufiño</v>
      </c>
      <c r="J85" s="122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22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22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/>
      </c>
      <c r="S85" s="122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/>
      </c>
      <c r="T85" s="122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22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22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22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22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22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22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22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22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22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22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22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22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22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22" t="e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>#VALUE!</v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22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22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22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22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22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22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22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22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22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22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22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22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22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22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22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22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22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22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>Tarea 28:</v>
      </c>
      <c r="D87" s="122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>REQ006</v>
      </c>
      <c r="E87" s="122" t="e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>#VALUE!</v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22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22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22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22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22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22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22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22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22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22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22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22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22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22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22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22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22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22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>Descripción:</v>
      </c>
      <c r="D88" s="122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>Generación y descarga PDF del reporte</v>
      </c>
      <c r="E88" s="122" t="e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>#VALUE!</v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22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22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22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22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22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22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22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22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22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22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22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22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22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22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22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22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22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22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>Inicio:</v>
      </c>
      <c r="D89" s="122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>46224</v>
      </c>
      <c r="E89" s="122" t="e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>#VALUE!</v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22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22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22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22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22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22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22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22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22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22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22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22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22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22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22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22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22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22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>Previsto:</v>
      </c>
      <c r="D90" s="122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>46225</v>
      </c>
      <c r="E90" s="122" t="e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>#VALUE!</v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22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22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22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22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22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22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22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22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22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22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22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22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22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22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22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22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22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22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>Final:</v>
      </c>
      <c r="D91" s="122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>0</v>
      </c>
      <c r="E91" s="122" t="e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>#VALUE!</v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22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22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22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22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22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22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22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22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22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22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22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22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22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22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22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22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22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22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>Duración:</v>
      </c>
      <c r="D92" s="122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22" t="e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>#VALUE!</v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22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22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22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22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22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22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22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22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22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22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22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22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22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22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22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22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22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22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>Retraso:</v>
      </c>
      <c r="D93" s="122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22" t="e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>#VALUE!</v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22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22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22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22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22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22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22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22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22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22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22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22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22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22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22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22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22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22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>Asignado:</v>
      </c>
      <c r="D94" s="122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>Jeancarlo Santi</v>
      </c>
      <c r="E94" s="122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22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22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22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22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22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22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22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22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22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22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22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22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22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22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22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22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22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22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22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22" t="e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>#VALUE!</v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22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22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22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22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22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22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22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22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22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22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22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22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22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22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22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22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22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22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>Tarea 27:</v>
      </c>
      <c r="D96" s="122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>REQ006</v>
      </c>
      <c r="E96" s="122" t="e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>#VALUE!</v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22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22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22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22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22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22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22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22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22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22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22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22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22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22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22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22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22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22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>Descripción:</v>
      </c>
      <c r="D97" s="122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>Tabla visualización del reporte</v>
      </c>
      <c r="E97" s="122" t="e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>#VALUE!</v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22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22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22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22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22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22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22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22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22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22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22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22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22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22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22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22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22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22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>Inicio:</v>
      </c>
      <c r="D98" s="122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>46223</v>
      </c>
      <c r="E98" s="122" t="e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>#VALUE!</v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22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22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22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22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22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22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22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22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22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22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22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22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22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22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22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22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22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22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>Previsto:</v>
      </c>
      <c r="D99" s="122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>46224</v>
      </c>
      <c r="E99" s="122" t="e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>#VALUE!</v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22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22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22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22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22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22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22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22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22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22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22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22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22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22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22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22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22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22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>Final:</v>
      </c>
      <c r="D100" s="122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>0</v>
      </c>
      <c r="E100" s="122" t="e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>#VALUE!</v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22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22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22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22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22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22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22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22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22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22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22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22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22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22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22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22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22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22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>Duración:</v>
      </c>
      <c r="D101" s="122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22" t="e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>#VALUE!</v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22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22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22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22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22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22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22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22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22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22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22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22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22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22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22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22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22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22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>Retraso:</v>
      </c>
      <c r="D102" s="122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22" t="e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>#VALUE!</v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22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22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22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22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22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22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22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22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22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22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22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22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22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22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22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22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22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22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>Asignado:</v>
      </c>
      <c r="D103" s="122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>Andres Cedeño</v>
      </c>
      <c r="E103" s="122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22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22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22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22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22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22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22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22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22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22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22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22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22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22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22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22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22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22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22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22" t="e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>#VALUE!</v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22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22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22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22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22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22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22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22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22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22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22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22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22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22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22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22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22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22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>Tarea 26:</v>
      </c>
      <c r="D105" s="122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>REQ006</v>
      </c>
      <c r="E105" s="122" t="e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>#VALUE!</v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22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22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22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22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22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22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22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22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22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22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22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22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22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22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22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22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22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22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>Descripción:</v>
      </c>
      <c r="D106" s="122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>Consulta pagos/estados de cuenta según filtros</v>
      </c>
      <c r="E106" s="122" t="e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>#VALUE!</v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22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22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22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22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22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22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22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22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22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22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22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22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22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22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22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22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22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22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>Inicio:</v>
      </c>
      <c r="D107" s="122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>46221</v>
      </c>
      <c r="E107" s="122" t="e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>#VALUE!</v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22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22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22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22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22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22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22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22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22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22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22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22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22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22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22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22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22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22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>Previsto:</v>
      </c>
      <c r="D108" s="122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>46223</v>
      </c>
      <c r="E108" s="122" t="e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>#VALUE!</v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22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22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22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22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22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22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22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22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22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22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22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22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22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22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22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22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22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22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>Final:</v>
      </c>
      <c r="D109" s="122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>0</v>
      </c>
      <c r="E109" s="122" t="e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>#VALUE!</v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22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22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22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22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22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22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22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22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22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22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22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22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22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22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22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22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22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22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>Duración:</v>
      </c>
      <c r="D110" s="122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22" t="e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>#VALUE!</v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22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22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22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22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22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22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22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22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22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22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22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22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22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22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22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22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22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22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>Retraso:</v>
      </c>
      <c r="D111" s="122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22" t="e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>#VALUE!</v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22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22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22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22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22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22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22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22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22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22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22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22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22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22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22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22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22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22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>Asignado:</v>
      </c>
      <c r="D112" s="122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>Erick Tufiño</v>
      </c>
      <c r="E112" s="122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22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22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22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22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22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22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22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22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22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22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22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22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22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22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22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22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22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22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22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22" t="e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>#VALUE!</v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22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22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22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22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22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22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22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22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22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22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22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22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22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22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22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22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22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22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>Tarea 25:</v>
      </c>
      <c r="D114" s="122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>REQ006</v>
      </c>
      <c r="E114" s="122" t="e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>#VALUE!</v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22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22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22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22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22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22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22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22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22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22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22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22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22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22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22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22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22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22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>Descripción:</v>
      </c>
      <c r="D115" s="122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>Restricción de datos visibles por rol (RLS)</v>
      </c>
      <c r="E115" s="122" t="e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>#VALUE!</v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22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22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22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22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22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22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22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22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22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22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22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22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22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22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22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22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22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22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>Inicio:</v>
      </c>
      <c r="D116" s="122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>46220</v>
      </c>
      <c r="E116" s="122" t="e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>#VALUE!</v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22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22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22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22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22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22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22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22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22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22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22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22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22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22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22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22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22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22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>Previsto:</v>
      </c>
      <c r="D117" s="122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>46221</v>
      </c>
      <c r="E117" s="122" t="e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>#VALUE!</v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22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22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22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22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22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22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22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22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22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22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22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22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22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22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22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22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22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22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>Final:</v>
      </c>
      <c r="D118" s="122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>0</v>
      </c>
      <c r="E118" s="122" t="e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>#VALUE!</v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22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22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22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22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22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22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22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22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22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22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22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22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22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22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22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22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22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22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>Duración:</v>
      </c>
      <c r="D119" s="122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22" t="e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>#VALUE!</v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22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22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22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22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22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22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22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22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22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22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22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22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22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22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22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22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22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22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>Retraso:</v>
      </c>
      <c r="D120" s="122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22" t="e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>#VALUE!</v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22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22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22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22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22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22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22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22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22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22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22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22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22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22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22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22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22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22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>Asignado:</v>
      </c>
      <c r="D121" s="122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>Jeancarlo Santi</v>
      </c>
      <c r="E121" s="122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22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22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22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22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22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22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22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22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22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22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22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22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22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22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22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22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22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22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22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22" t="e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>#VALUE!</v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22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22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22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22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22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22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22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22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22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22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22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22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22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22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22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22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22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22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>Tarea 24:</v>
      </c>
      <c r="D123" s="122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>REQ006</v>
      </c>
      <c r="E123" s="122" t="e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>#VALUE!</v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22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22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22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22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22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22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22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22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22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22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22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22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22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22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22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22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22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22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>Descripción:</v>
      </c>
      <c r="D124" s="122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>Formulario filtros reportes (fecha/período/estado pago)</v>
      </c>
      <c r="E124" s="122" t="e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>#VALUE!</v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22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22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22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22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22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22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22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22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22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22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22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22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22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22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22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22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22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22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>Inicio:</v>
      </c>
      <c r="D125" s="122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>46219</v>
      </c>
      <c r="E125" s="122" t="e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>#VALUE!</v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22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22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22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22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22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22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22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22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22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22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22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22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22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22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22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22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22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22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>Previsto:</v>
      </c>
      <c r="D126" s="122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>46220</v>
      </c>
      <c r="E126" s="122" t="e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>#VALUE!</v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22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22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22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22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22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22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22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22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22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22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22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22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22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22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22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22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22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22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>Final:</v>
      </c>
      <c r="D127" s="122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>0</v>
      </c>
      <c r="E127" s="122" t="e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>#VALUE!</v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22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22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22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22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22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22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22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22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22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22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22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22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22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22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22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22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22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22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>Duración:</v>
      </c>
      <c r="D128" s="122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22" t="e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>#VALUE!</v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22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22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22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22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22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22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22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22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22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22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22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22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22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22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22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22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22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22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>Retraso:</v>
      </c>
      <c r="D129" s="122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22" t="e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>#VALUE!</v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22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22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22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22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22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22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22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22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22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22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22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22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22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22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22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22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22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22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>Asignado:</v>
      </c>
      <c r="D130" s="122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>Andres Cedeño</v>
      </c>
      <c r="E130" s="122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22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22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22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22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22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22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22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22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22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22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22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22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22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22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22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22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22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22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22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22" t="e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>#VALUE!</v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22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22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22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22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22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22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22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22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22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22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22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22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22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22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22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22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22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22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>Tarea 23:</v>
      </c>
      <c r="D132" s="122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>REQ005</v>
      </c>
      <c r="E132" s="122" t="e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>#VALUE!</v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22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22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22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22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22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22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22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22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22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22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22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22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22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22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22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22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22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22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>Descripción:</v>
      </c>
      <c r="D133" s="122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>Exportar resultados a Excel/PDF</v>
      </c>
      <c r="E133" s="122" t="e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>#VALUE!</v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22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22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22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22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22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22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22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22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22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22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22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22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22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22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22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22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22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22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>Inicio:</v>
      </c>
      <c r="D134" s="122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>46217</v>
      </c>
      <c r="E134" s="122" t="e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>#VALUE!</v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22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22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22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22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22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22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22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22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22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22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22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22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22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22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22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22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22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22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>Previsto:</v>
      </c>
      <c r="D135" s="122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>46218</v>
      </c>
      <c r="E135" s="122" t="e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>#VALUE!</v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22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22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22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22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22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22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22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22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22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22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22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22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22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22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22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22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22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22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>Final:</v>
      </c>
      <c r="D136" s="122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>0</v>
      </c>
      <c r="E136" s="122" t="e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>#VALUE!</v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22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22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22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22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22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22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22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22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22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22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22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22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22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22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22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22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22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22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>Duración:</v>
      </c>
      <c r="D137" s="122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22" t="e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>#VALUE!</v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22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22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22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22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22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22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22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22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22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22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22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22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22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22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22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22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22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22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>Retraso:</v>
      </c>
      <c r="D138" s="122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22" t="e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>#VALUE!</v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22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22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22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22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22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22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22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22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22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22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22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22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22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22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22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22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22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22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>Asignado:</v>
      </c>
      <c r="D139" s="122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>Jeancarlo Santi</v>
      </c>
      <c r="E139" s="122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22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22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22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22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22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22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22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22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22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22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22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22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22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22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22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22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22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22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22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22" t="e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>#VALUE!</v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22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22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22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22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22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22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22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22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22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22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22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22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22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22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22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22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22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22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>Tarea 22:</v>
      </c>
      <c r="D141" s="122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>REQ005</v>
      </c>
      <c r="E141" s="122" t="e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>#VALUE!</v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22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22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22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22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22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22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22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22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22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22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22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22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22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22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22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22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22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22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>Descripción:</v>
      </c>
      <c r="D142" s="122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>Ordenamiento por columnas (ASC/DESC)</v>
      </c>
      <c r="E142" s="122" t="e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>#VALUE!</v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22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22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22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22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22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22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22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22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22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22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22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22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22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22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22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22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22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22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>Inicio:</v>
      </c>
      <c r="D143" s="122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>46216</v>
      </c>
      <c r="E143" s="122" t="e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>#VALUE!</v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22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22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22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22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22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22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22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22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22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22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22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22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22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22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22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22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22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22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>Previsto:</v>
      </c>
      <c r="D144" s="122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>46217</v>
      </c>
      <c r="E144" s="122" t="e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>#VALUE!</v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22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22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22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22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22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22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22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22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22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22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22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22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22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22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22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22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22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22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>Final:</v>
      </c>
      <c r="D145" s="122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>0</v>
      </c>
      <c r="E145" s="122" t="e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>#VALUE!</v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22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22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22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22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22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22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22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22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22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22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22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22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22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22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22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22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22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22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>Duración:</v>
      </c>
      <c r="D146" s="122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22" t="e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>#VALUE!</v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22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22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22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22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22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22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22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22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22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22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22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22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22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22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22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22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22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22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>Retraso:</v>
      </c>
      <c r="D147" s="122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22" t="e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>#VALUE!</v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22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22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22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22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22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22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22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22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22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22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22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22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22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22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22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22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22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22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>Asignado:</v>
      </c>
      <c r="D148" s="122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>Andres Cedeño</v>
      </c>
      <c r="E148" s="122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22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22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22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22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22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22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22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22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22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22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22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22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22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22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22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22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22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22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22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22" t="e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>#VALUE!</v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22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22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22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22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22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22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22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22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22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22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22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22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22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22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22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22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22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22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>Tarea 21:</v>
      </c>
      <c r="D150" s="122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>REQ005</v>
      </c>
      <c r="E150" s="122" t="e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>#VALUE!</v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22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22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22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22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22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22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22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22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22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22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22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22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22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22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22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22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22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22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>Descripción:</v>
      </c>
      <c r="D151" s="122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>Filtros búsqueda (casa/nombre/perfil/estado)</v>
      </c>
      <c r="E151" s="122" t="e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>#VALUE!</v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22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22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22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22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22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22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22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22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22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22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22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22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22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22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22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22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22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22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>Inicio:</v>
      </c>
      <c r="D152" s="122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>46214</v>
      </c>
      <c r="E152" s="122" t="e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>#VALUE!</v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22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22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22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22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22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22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22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22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22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22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22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22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22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22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22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22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22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22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>Previsto:</v>
      </c>
      <c r="D153" s="122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>46216</v>
      </c>
      <c r="E153" s="122" t="e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>#VALUE!</v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22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22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22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22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22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22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22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22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22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22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22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22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22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22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22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22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22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22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>Final:</v>
      </c>
      <c r="D154" s="122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>0</v>
      </c>
      <c r="E154" s="122" t="e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>#VALUE!</v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22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22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22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22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22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22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22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22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22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22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22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22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22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22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22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22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22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22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>Duración:</v>
      </c>
      <c r="D155" s="122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22" t="e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>#VALUE!</v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22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22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22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22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22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22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22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22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22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22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22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22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22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22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22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22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22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22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>Retraso:</v>
      </c>
      <c r="D156" s="122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22" t="e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>#VALUE!</v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22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22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22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22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22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22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22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22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22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22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22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22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22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22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22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22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22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22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>Asignado:</v>
      </c>
      <c r="D157" s="122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>Erick Tufiño</v>
      </c>
      <c r="E157" s="122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22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22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22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22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22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22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22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22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22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22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22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22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22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22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22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22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22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22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22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22" t="e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>#VALUE!</v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22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22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22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22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22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22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22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22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22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22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22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22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22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22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22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22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22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22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>Tarea 20:</v>
      </c>
      <c r="D159" s="122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>REQ005</v>
      </c>
      <c r="E159" s="122" t="e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>#VALUE!</v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22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22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22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22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22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22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22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22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22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22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22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22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22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22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22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22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22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22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>Descripción:</v>
      </c>
      <c r="D160" s="122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>Tabla lista copropietarios registrados</v>
      </c>
      <c r="E160" s="122" t="e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>#VALUE!</v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22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22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22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22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22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22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22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22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22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22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22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22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22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22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22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22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22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22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>Inicio:</v>
      </c>
      <c r="D161" s="122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>46213</v>
      </c>
      <c r="E161" s="122" t="e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>#VALUE!</v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22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22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22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22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22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22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22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22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22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22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22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22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22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22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22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22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22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22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>Previsto:</v>
      </c>
      <c r="D162" s="122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>46214</v>
      </c>
      <c r="E162" s="122" t="e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>#VALUE!</v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22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22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22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22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22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22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22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22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22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22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22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22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22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22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22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22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22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22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>Final:</v>
      </c>
      <c r="D163" s="122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>0</v>
      </c>
      <c r="E163" s="122" t="e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>#VALUE!</v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22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22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22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22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22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22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22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22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22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22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22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22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22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22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22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22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22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22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>Duración:</v>
      </c>
      <c r="D164" s="122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22" t="e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>#VALUE!</v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22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22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22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22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22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22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22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22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22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22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22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22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22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22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22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22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22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22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>Retraso:</v>
      </c>
      <c r="D165" s="122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22" t="e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>#VALUE!</v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22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22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22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22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22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22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22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22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22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22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22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22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22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22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22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22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22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22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>Asignado:</v>
      </c>
      <c r="D166" s="122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>Jeancarlo Santi</v>
      </c>
      <c r="E166" s="122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22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22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22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22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22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22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22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22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22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22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22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22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22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22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22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22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22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22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22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22" t="e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>#VALUE!</v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22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22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22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22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22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22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22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22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22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22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22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22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22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22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22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22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22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22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>Tarea 19:</v>
      </c>
      <c r="D168" s="122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>REQ004</v>
      </c>
      <c r="E168" s="122" t="e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>#VALUE!</v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22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22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22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22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22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22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22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22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22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22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22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22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22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22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22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22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22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22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>Descripción:</v>
      </c>
      <c r="D169" s="122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>Resumen importación (éxitos/errores)</v>
      </c>
      <c r="E169" s="122" t="e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>#VALUE!</v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22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22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22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22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22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22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22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22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22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22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22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22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22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22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22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22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22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22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>Inicio:</v>
      </c>
      <c r="D170" s="122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>46211</v>
      </c>
      <c r="E170" s="122" t="e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>#VALUE!</v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22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22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22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22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22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22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22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22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22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22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22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22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22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22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22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22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22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22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>Previsto:</v>
      </c>
      <c r="D171" s="122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>46212</v>
      </c>
      <c r="E171" s="122" t="e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>#VALUE!</v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22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22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22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22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22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22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22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22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22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22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22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22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22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22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22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22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22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22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>Final:</v>
      </c>
      <c r="D172" s="122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>0</v>
      </c>
      <c r="E172" s="122" t="e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>#VALUE!</v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22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22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22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22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22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22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22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22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22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22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22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22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22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22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22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22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22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22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>Duración:</v>
      </c>
      <c r="D173" s="122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22" t="e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>#VALUE!</v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22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22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22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22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22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22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22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22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22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22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22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22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22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22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22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22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22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22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>Retraso:</v>
      </c>
      <c r="D174" s="122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22" t="e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>#VALUE!</v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22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22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22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22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22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22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22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22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22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22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22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22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22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22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22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22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22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22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>Asignado:</v>
      </c>
      <c r="D175" s="122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>Andres Cedeño</v>
      </c>
      <c r="E175" s="122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22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22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22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22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22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22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22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22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22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22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22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22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22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22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22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22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22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22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22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22" t="e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>#VALUE!</v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22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22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22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22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22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22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22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22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22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22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22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22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22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22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22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22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22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22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>Tarea 18:</v>
      </c>
      <c r="D177" s="122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>REQ004</v>
      </c>
      <c r="E177" s="122" t="e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>#VALUE!</v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22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22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22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22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22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22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22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22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22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22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22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22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22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22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22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22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22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22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>Descripción:</v>
      </c>
      <c r="D178" s="122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>Duplicados + creación usuarios + credenciales temporales</v>
      </c>
      <c r="E178" s="122" t="e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>#VALUE!</v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22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22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22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22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22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22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22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22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22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22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22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22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22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22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22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22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22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22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>Inicio:</v>
      </c>
      <c r="D179" s="122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>46209</v>
      </c>
      <c r="E179" s="122" t="e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>#VALUE!</v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22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22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22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22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22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22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22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22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22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22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22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22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22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22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22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22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22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22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>Previsto:</v>
      </c>
      <c r="D180" s="122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>46211</v>
      </c>
      <c r="E180" s="122" t="e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>#VALUE!</v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22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22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22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22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22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22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22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22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22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22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22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22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22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22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22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22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22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22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>Final:</v>
      </c>
      <c r="D181" s="122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>0</v>
      </c>
      <c r="E181" s="122" t="e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>#VALUE!</v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22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22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22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22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22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22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22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22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22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22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22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22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22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22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22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22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22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22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>Duración:</v>
      </c>
      <c r="D182" s="122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22" t="e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>#VALUE!</v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22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22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22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22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22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22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22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22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22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22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22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22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22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22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22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22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22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22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>Retraso:</v>
      </c>
      <c r="D183" s="122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22" t="e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>#VALUE!</v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22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22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22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22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22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22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22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22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22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22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22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22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22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22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22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22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22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22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>Asignado:</v>
      </c>
      <c r="D184" s="122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>Erick Tufiño</v>
      </c>
      <c r="E184" s="122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22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22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22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22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22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22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22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22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22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22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22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22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22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22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22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22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22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22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22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22" t="e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>#VALUE!</v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22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22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22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22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22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22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22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22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22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22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22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22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22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22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22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22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22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22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>Tarea 17:</v>
      </c>
      <c r="D186" s="122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>REQ004</v>
      </c>
      <c r="E186" s="122" t="e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>#VALUE!</v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22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22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22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22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22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22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22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22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22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22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22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22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22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22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22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22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22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22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>Descripción:</v>
      </c>
      <c r="D187" s="122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>Lectura filas + validación cédula/correo/teléfono/casa</v>
      </c>
      <c r="E187" s="122" t="e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>#VALUE!</v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22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22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22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22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22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22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22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22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22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22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22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22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22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22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22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22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22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22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>Inicio:</v>
      </c>
      <c r="D188" s="122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>46207</v>
      </c>
      <c r="E188" s="122" t="e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>#VALUE!</v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22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22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22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22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22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22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22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22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22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22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22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22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22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22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22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22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22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22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>Previsto:</v>
      </c>
      <c r="D189" s="122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>46209</v>
      </c>
      <c r="E189" s="122" t="e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>#VALUE!</v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22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22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22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22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22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22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22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22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22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22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22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22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22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22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22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22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22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22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>Final:</v>
      </c>
      <c r="D190" s="122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>0</v>
      </c>
      <c r="E190" s="122" t="e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>#VALUE!</v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22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22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22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22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22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22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22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22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22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22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22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22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22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22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22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22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22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22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>Duración:</v>
      </c>
      <c r="D191" s="122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22" t="e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>#VALUE!</v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22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22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22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22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22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22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22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22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22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22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22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22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22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22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22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22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22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22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>Retraso:</v>
      </c>
      <c r="D192" s="122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22" t="e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>#VALUE!</v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22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22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22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22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22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22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22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22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22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22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22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22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22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22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22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22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22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22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>Asignado:</v>
      </c>
      <c r="D193" s="122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>Jeancarlo Santi</v>
      </c>
      <c r="E193" s="122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22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22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22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22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22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22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22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22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22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22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22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22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22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22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22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22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22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22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22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22" t="e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>#VALUE!</v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22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22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22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22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22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22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22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22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22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22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22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22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22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22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22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22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22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22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>Tarea 16:</v>
      </c>
      <c r="D195" s="122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>REQ004</v>
      </c>
      <c r="E195" s="122" t="e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>#VALUE!</v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22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22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22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22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22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22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22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22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22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22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22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22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22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22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22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22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22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22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>Descripción:</v>
      </c>
      <c r="D196" s="122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>Validación extensión y columnas requeridas</v>
      </c>
      <c r="E196" s="122" t="e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>#VALUE!</v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22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22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22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22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22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22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22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22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22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22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22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22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22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22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22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22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22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22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>Inicio:</v>
      </c>
      <c r="D197" s="122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>46205</v>
      </c>
      <c r="E197" s="122" t="e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>#VALUE!</v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22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22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22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22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22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22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22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22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22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22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22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22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22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22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22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22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22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22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>Previsto:</v>
      </c>
      <c r="D198" s="122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>46207</v>
      </c>
      <c r="E198" s="122" t="e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>#VALUE!</v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22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22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22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22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22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22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22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22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22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22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22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22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22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22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22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22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22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22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>Final:</v>
      </c>
      <c r="D199" s="122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>0</v>
      </c>
      <c r="E199" s="122" t="e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>#VALUE!</v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22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22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22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22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22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22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22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22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22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22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22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22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22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22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22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22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22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22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>Duración:</v>
      </c>
      <c r="D200" s="122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22" t="e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>#VALUE!</v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22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22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22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22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22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22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22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22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22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22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22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22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22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22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22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22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22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22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>Retraso:</v>
      </c>
      <c r="D201" s="123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23" t="str" cm="1">
        <f t="array" aca="1" ref="E201" ca="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23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23" t="str" cm="1">
        <f t="array" aca="1" ref="J201" ca="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23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23" t="str" cm="1">
        <f t="array" aca="1" ref="O201" ca="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23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23" t="str" cm="1">
        <f t="array" aca="1" ref="T201" ca="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23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23" t="str" cm="1">
        <f t="array" aca="1" ref="Y201" ca="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23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23" t="str" cm="1">
        <f t="array" aca="1" ref="AD201" ca="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23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23" t="str" cm="1">
        <f t="array" aca="1" ref="AI201" ca="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23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23" t="str" cm="1">
        <f t="array" aca="1" ref="AN201" ca="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23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23" t="str" cm="1">
        <f t="array" aca="1" ref="AS201" ca="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23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23" t="str" cm="1">
        <f t="array" aca="1" ref="AX201" ca="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23" priority="1" stopIfTrue="1">
      <formula>AND(B6=miCabeceraRetraso&amp;":",IFERROR(--LEFT(C6,FIND(" ",C6)-1),0)&gt;0)</formula>
    </cfRule>
    <cfRule type="expression" dxfId="22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1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workbookViewId="0">
      <pane ySplit="1" topLeftCell="A3" activePane="bottomLeft" state="frozen"/>
      <selection pane="bottomLeft" activeCell="E16" sqref="E16"/>
    </sheetView>
  </sheetViews>
  <sheetFormatPr defaultColWidth="0" defaultRowHeight="14.45" zeroHeight="1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>
      <c r="A1" s="40" t="str">
        <f ca="1">Idiomas!$A$7</f>
        <v>Estados</v>
      </c>
      <c r="B1" s="41" t="str">
        <f ca="1">Idiomas!$A$8</f>
        <v>Criticidad</v>
      </c>
      <c r="C1" s="41" t="str">
        <f ca="1">Idiomas!$A$12</f>
        <v>Tarea</v>
      </c>
      <c r="D1" s="41" t="str">
        <f ca="1">Idiomas!$A$13</f>
        <v>Descripción</v>
      </c>
      <c r="E1" s="41" t="str">
        <f ca="1">Idiomas!$A$14</f>
        <v>Inicio</v>
      </c>
      <c r="F1" s="41" t="str">
        <f ca="1">Idiomas!$A$15</f>
        <v>Previsto</v>
      </c>
      <c r="G1" s="41" t="str">
        <f ca="1">Idiomas!$A$16</f>
        <v>Final</v>
      </c>
      <c r="H1" s="41" t="str">
        <f ca="1">Idiomas!$A$17</f>
        <v>Duración</v>
      </c>
      <c r="I1" s="41" t="str">
        <f ca="1">Idiomas!$A$18</f>
        <v>Retraso</v>
      </c>
      <c r="J1" s="41" t="str">
        <f ca="1">Idiomas!$A$19</f>
        <v>Asignado</v>
      </c>
      <c r="K1" s="42" t="s">
        <v>1</v>
      </c>
    </row>
    <row r="2" spans="1:11" ht="45.75">
      <c r="A2" s="91" t="s">
        <v>2</v>
      </c>
      <c r="B2" s="92" t="s">
        <v>3</v>
      </c>
      <c r="C2" s="100" t="s">
        <v>4</v>
      </c>
      <c r="D2" s="100" t="s">
        <v>5</v>
      </c>
      <c r="E2" s="114">
        <v>46189</v>
      </c>
      <c r="F2" s="115">
        <v>46191</v>
      </c>
      <c r="G2" s="93">
        <v>46191</v>
      </c>
      <c r="H2" s="43" t="str">
        <f ca="1">IF(Datos!$G2&gt;0,Datos!$G2-Datos!$E2+1 &amp; " " &amp; Idiomas!$A$29,"")</f>
        <v>3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102" t="s">
        <v>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5.75">
      <c r="A3" s="94" t="s">
        <v>2</v>
      </c>
      <c r="B3" s="95" t="s">
        <v>3</v>
      </c>
      <c r="C3" s="95" t="s">
        <v>4</v>
      </c>
      <c r="D3" s="101" t="s">
        <v>7</v>
      </c>
      <c r="E3" s="112">
        <v>46190</v>
      </c>
      <c r="F3" s="113">
        <v>46191</v>
      </c>
      <c r="G3" s="96">
        <v>46191</v>
      </c>
      <c r="H3" s="45" t="str">
        <f ca="1">IF(Datos!$G3&gt;0,Datos!$G3-Datos!$E3+1 &amp; " " &amp; Idiomas!$A$29,"")</f>
        <v>2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103" t="s">
        <v>8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15">
      <c r="A4" s="91" t="s">
        <v>2</v>
      </c>
      <c r="B4" s="92" t="s">
        <v>3</v>
      </c>
      <c r="C4" s="92" t="s">
        <v>4</v>
      </c>
      <c r="D4" s="92" t="s">
        <v>9</v>
      </c>
      <c r="E4" s="110">
        <v>46191</v>
      </c>
      <c r="F4" s="111">
        <v>46193</v>
      </c>
      <c r="G4" s="93">
        <v>46193</v>
      </c>
      <c r="H4" s="43" t="str">
        <f ca="1">IF(Datos!$G4&gt;0,Datos!$G4-Datos!$E4+1 &amp; " " &amp; Idiomas!$A$29,"")</f>
        <v>3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104" t="s">
        <v>10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15">
      <c r="A5" s="94" t="s">
        <v>2</v>
      </c>
      <c r="B5" s="95" t="s">
        <v>3</v>
      </c>
      <c r="C5" s="95" t="s">
        <v>4</v>
      </c>
      <c r="D5" s="95" t="s">
        <v>11</v>
      </c>
      <c r="E5" s="112">
        <v>46193</v>
      </c>
      <c r="F5" s="113">
        <v>46194</v>
      </c>
      <c r="G5" s="96">
        <v>46195</v>
      </c>
      <c r="H5" s="45" t="str">
        <f ca="1">IF(Datos!$G5&gt;0,Datos!$G5-Datos!$E5+1 &amp; " " &amp; Idiomas!$A$29,"")</f>
        <v>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1 días</v>
      </c>
      <c r="J5" s="103" t="s">
        <v>6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15">
      <c r="A6" s="91" t="s">
        <v>2</v>
      </c>
      <c r="B6" s="92" t="s">
        <v>3</v>
      </c>
      <c r="C6" s="92" t="s">
        <v>4</v>
      </c>
      <c r="D6" s="102" t="s">
        <v>12</v>
      </c>
      <c r="E6" s="110">
        <v>46193</v>
      </c>
      <c r="F6" s="111">
        <v>46194</v>
      </c>
      <c r="G6" s="93">
        <v>46195</v>
      </c>
      <c r="H6" s="43" t="str">
        <f ca="1">IF(Datos!$G6&gt;0,Datos!$G6-Datos!$E6+1 &amp; " " &amp; Idiomas!$A$29,"")</f>
        <v>3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1 días</v>
      </c>
      <c r="J6" s="104" t="s">
        <v>6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15">
      <c r="A7" s="94" t="s">
        <v>2</v>
      </c>
      <c r="B7" s="95" t="s">
        <v>3</v>
      </c>
      <c r="C7" s="95" t="s">
        <v>4</v>
      </c>
      <c r="D7" s="103" t="s">
        <v>13</v>
      </c>
      <c r="E7" s="112">
        <v>46193</v>
      </c>
      <c r="F7" s="113">
        <v>46194</v>
      </c>
      <c r="G7" s="96">
        <v>46195</v>
      </c>
      <c r="H7" s="45" t="str">
        <f ca="1">IF(Datos!$G7&gt;0,Datos!$G7-Datos!$E7+1 &amp; " " &amp; Idiomas!$A$29,"")</f>
        <v>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1 días</v>
      </c>
      <c r="J7" s="103" t="s">
        <v>10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15">
      <c r="A8" s="91" t="s">
        <v>14</v>
      </c>
      <c r="B8" s="92" t="s">
        <v>3</v>
      </c>
      <c r="C8" s="92" t="s">
        <v>15</v>
      </c>
      <c r="D8" s="104" t="s">
        <v>16</v>
      </c>
      <c r="E8" s="110">
        <v>46195</v>
      </c>
      <c r="F8" s="111">
        <v>46196</v>
      </c>
      <c r="G8" s="93">
        <v>46196</v>
      </c>
      <c r="H8" s="43" t="str">
        <f ca="1">IF(Datos!$G8&gt;0,Datos!$G8-Datos!$E8+1 &amp; " " &amp; Idiomas!$A$29,"")</f>
        <v>2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104" t="s">
        <v>10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ht="15">
      <c r="A9" s="94" t="s">
        <v>14</v>
      </c>
      <c r="B9" s="95" t="s">
        <v>3</v>
      </c>
      <c r="C9" s="95" t="s">
        <v>15</v>
      </c>
      <c r="D9" s="103" t="s">
        <v>17</v>
      </c>
      <c r="E9" s="112">
        <v>46195</v>
      </c>
      <c r="F9" s="113">
        <v>46196</v>
      </c>
      <c r="G9" s="96">
        <v>46196</v>
      </c>
      <c r="H9" s="45" t="str">
        <f ca="1"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103" t="s">
        <v>6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15">
      <c r="A10" s="91" t="s">
        <v>14</v>
      </c>
      <c r="B10" s="92" t="s">
        <v>3</v>
      </c>
      <c r="C10" s="92" t="s">
        <v>15</v>
      </c>
      <c r="D10" s="104" t="s">
        <v>18</v>
      </c>
      <c r="E10" s="110">
        <v>46196</v>
      </c>
      <c r="F10" s="111">
        <v>46197</v>
      </c>
      <c r="G10" s="93">
        <v>46197</v>
      </c>
      <c r="H10" s="43" t="str">
        <f ca="1">IF(Datos!$G10&gt;0,Datos!$G10-Datos!$E10+1 &amp; " " &amp; Idiomas!$A$29,"")</f>
        <v>2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104" t="s">
        <v>8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ht="15">
      <c r="A11" s="94" t="s">
        <v>14</v>
      </c>
      <c r="B11" s="95" t="s">
        <v>3</v>
      </c>
      <c r="C11" s="95" t="s">
        <v>15</v>
      </c>
      <c r="D11" s="103" t="s">
        <v>19</v>
      </c>
      <c r="E11" s="116">
        <v>46197</v>
      </c>
      <c r="F11" s="113">
        <v>46198</v>
      </c>
      <c r="G11" s="96">
        <v>46198</v>
      </c>
      <c r="H11" s="45" t="str">
        <f ca="1">IF(Datos!$G11&gt;0,Datos!$G11-Datos!$E11+1 &amp; " " &amp; Idiomas!$A$29,"")</f>
        <v>2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103" t="s">
        <v>10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15">
      <c r="A12" s="91" t="s">
        <v>14</v>
      </c>
      <c r="B12" s="92" t="s">
        <v>20</v>
      </c>
      <c r="C12" s="92" t="s">
        <v>21</v>
      </c>
      <c r="D12" s="104" t="s">
        <v>22</v>
      </c>
      <c r="E12" s="117">
        <v>46199</v>
      </c>
      <c r="F12" s="118">
        <v>46200</v>
      </c>
      <c r="G12" s="93">
        <v>46200</v>
      </c>
      <c r="H12" s="43" t="str">
        <f ca="1"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104" t="s">
        <v>8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15">
      <c r="A13" s="94" t="s">
        <v>14</v>
      </c>
      <c r="B13" s="95" t="s">
        <v>20</v>
      </c>
      <c r="C13" s="95" t="s">
        <v>21</v>
      </c>
      <c r="D13" s="108" t="s">
        <v>23</v>
      </c>
      <c r="E13" s="112">
        <v>46199</v>
      </c>
      <c r="F13" s="113">
        <v>46200</v>
      </c>
      <c r="G13" s="96">
        <v>46201</v>
      </c>
      <c r="H13" s="45" t="str">
        <f ca="1">IF(Datos!$G13&gt;0,Datos!$G13-Datos!$E13+1 &amp; " " &amp; Idiomas!$A$29,"")</f>
        <v>3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1 días</v>
      </c>
      <c r="J13" s="103" t="s">
        <v>6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24">
      <c r="A14" s="91" t="s">
        <v>14</v>
      </c>
      <c r="B14" s="92" t="s">
        <v>20</v>
      </c>
      <c r="C14" s="92" t="s">
        <v>21</v>
      </c>
      <c r="D14" s="109" t="s">
        <v>24</v>
      </c>
      <c r="E14" s="110">
        <v>46201</v>
      </c>
      <c r="F14" s="111">
        <v>46203</v>
      </c>
      <c r="G14" s="93">
        <v>46201</v>
      </c>
      <c r="H14" s="43" t="str">
        <f ca="1">IF(Datos!$G14&gt;0,Datos!$G14-Datos!$E14+1 &amp; " " &amp; Idiomas!$A$29,"")</f>
        <v>1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104" t="s">
        <v>10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ht="15">
      <c r="A15" s="94" t="s">
        <v>14</v>
      </c>
      <c r="B15" s="95" t="s">
        <v>20</v>
      </c>
      <c r="C15" s="95" t="s">
        <v>21</v>
      </c>
      <c r="D15" s="107" t="s">
        <v>25</v>
      </c>
      <c r="E15" s="112">
        <v>46202</v>
      </c>
      <c r="F15" s="113">
        <v>46203</v>
      </c>
      <c r="G15" s="96">
        <v>46203</v>
      </c>
      <c r="H15" s="45" t="str">
        <f ca="1">IF(Datos!$G15&gt;0,Datos!$G15-Datos!$E15+1 &amp; " " &amp; Idiomas!$A$29,"")</f>
        <v>2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103" t="s">
        <v>8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">
      <c r="A16" s="91" t="s">
        <v>26</v>
      </c>
      <c r="B16" s="92" t="s">
        <v>3</v>
      </c>
      <c r="C16" s="92" t="s">
        <v>27</v>
      </c>
      <c r="D16" s="102" t="s">
        <v>28</v>
      </c>
      <c r="E16" s="110">
        <v>46204</v>
      </c>
      <c r="F16" s="111">
        <v>46205</v>
      </c>
      <c r="G16" s="93"/>
      <c r="H16" s="43" t="str">
        <f ca="1">IF(Datos!$G16&gt;0,Datos!$G16-Datos!$E16+1 &amp; " " &amp; Idiomas!$A$29,"")</f>
        <v/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/>
      </c>
      <c r="J16" s="104" t="s">
        <v>10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15">
      <c r="A17" s="94" t="s">
        <v>26</v>
      </c>
      <c r="B17" s="95" t="s">
        <v>3</v>
      </c>
      <c r="C17" s="95" t="s">
        <v>27</v>
      </c>
      <c r="D17" s="103" t="s">
        <v>29</v>
      </c>
      <c r="E17" s="112">
        <v>46205</v>
      </c>
      <c r="F17" s="113">
        <v>46207</v>
      </c>
      <c r="G17" s="96"/>
      <c r="H17" s="45" t="str">
        <f ca="1">IF(Datos!$G17&gt;0,Datos!$G17-Datos!$E17+1 &amp; " " &amp; Idiomas!$A$29,"")</f>
        <v/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/>
      </c>
      <c r="J17" s="103" t="s">
        <v>8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ht="15">
      <c r="A18" s="91" t="s">
        <v>26</v>
      </c>
      <c r="B18" s="92" t="s">
        <v>3</v>
      </c>
      <c r="C18" s="92" t="s">
        <v>27</v>
      </c>
      <c r="D18" s="104" t="s">
        <v>30</v>
      </c>
      <c r="E18" s="110">
        <v>46207</v>
      </c>
      <c r="F18" s="111">
        <v>46209</v>
      </c>
      <c r="G18" s="93"/>
      <c r="H18" s="43" t="str">
        <f ca="1">IF(Datos!$G18&gt;0,Datos!$G18-Datos!$E18+1 &amp; " " &amp; Idiomas!$A$29,"")</f>
        <v/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/>
      </c>
      <c r="J18" s="104" t="s">
        <v>6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ht="15">
      <c r="A19" s="94" t="s">
        <v>26</v>
      </c>
      <c r="B19" s="95" t="s">
        <v>3</v>
      </c>
      <c r="C19" s="95" t="s">
        <v>27</v>
      </c>
      <c r="D19" s="103" t="s">
        <v>31</v>
      </c>
      <c r="E19" s="112">
        <v>46209</v>
      </c>
      <c r="F19" s="113">
        <v>46211</v>
      </c>
      <c r="G19" s="96"/>
      <c r="H19" s="45" t="str">
        <f ca="1">IF(Datos!$G19&gt;0,Datos!$G19-Datos!$E19+1 &amp; " " &amp; Idiomas!$A$29,"")</f>
        <v/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/>
      </c>
      <c r="J19" s="103" t="s">
        <v>10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ht="15">
      <c r="A20" s="91" t="s">
        <v>26</v>
      </c>
      <c r="B20" s="92" t="s">
        <v>3</v>
      </c>
      <c r="C20" s="92" t="s">
        <v>27</v>
      </c>
      <c r="D20" s="105" t="s">
        <v>32</v>
      </c>
      <c r="E20" s="110">
        <v>46211</v>
      </c>
      <c r="F20" s="111">
        <v>46212</v>
      </c>
      <c r="G20" s="93"/>
      <c r="H20" s="43" t="str">
        <f ca="1">IF(Datos!$G20&gt;0,Datos!$G20-Datos!$E20+1 &amp; " " &amp; Idiomas!$A$29,"")</f>
        <v/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/>
      </c>
      <c r="J20" s="104" t="s">
        <v>8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15">
      <c r="A21" s="94" t="s">
        <v>26</v>
      </c>
      <c r="B21" s="95" t="s">
        <v>20</v>
      </c>
      <c r="C21" s="95" t="s">
        <v>33</v>
      </c>
      <c r="D21" s="106" t="s">
        <v>34</v>
      </c>
      <c r="E21" s="112">
        <v>46213</v>
      </c>
      <c r="F21" s="113">
        <v>46214</v>
      </c>
      <c r="G21" s="96"/>
      <c r="H21" s="45" t="str">
        <f ca="1">IF(Datos!$G21&gt;0,Datos!$G21-Datos!$E21+1 &amp; " " &amp; Idiomas!$A$29,"")</f>
        <v/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/>
      </c>
      <c r="J21" s="103" t="s">
        <v>6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ht="15">
      <c r="A22" s="91" t="s">
        <v>26</v>
      </c>
      <c r="B22" s="92" t="s">
        <v>20</v>
      </c>
      <c r="C22" s="92" t="s">
        <v>33</v>
      </c>
      <c r="D22" s="104" t="s">
        <v>35</v>
      </c>
      <c r="E22" s="110">
        <v>46214</v>
      </c>
      <c r="F22" s="111">
        <v>46216</v>
      </c>
      <c r="G22" s="93"/>
      <c r="H22" s="43" t="str">
        <f ca="1">IF(Datos!$G22&gt;0,Datos!$G22-Datos!$E22+1 &amp; " " &amp; Idiomas!$A$29,"")</f>
        <v/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/>
      </c>
      <c r="J22" s="104" t="s">
        <v>10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ht="15">
      <c r="A23" s="94" t="s">
        <v>26</v>
      </c>
      <c r="B23" s="95" t="s">
        <v>20</v>
      </c>
      <c r="C23" s="95" t="s">
        <v>33</v>
      </c>
      <c r="D23" s="103" t="s">
        <v>36</v>
      </c>
      <c r="E23" s="112">
        <v>46216</v>
      </c>
      <c r="F23" s="113">
        <v>46217</v>
      </c>
      <c r="G23" s="96"/>
      <c r="H23" s="45" t="str">
        <f ca="1">IF(Datos!$G23&gt;0,Datos!$G23-Datos!$E23+1 &amp; " " &amp; Idiomas!$A$29,"")</f>
        <v/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/>
      </c>
      <c r="J23" s="103" t="s">
        <v>8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ht="15">
      <c r="A24" s="91" t="s">
        <v>26</v>
      </c>
      <c r="B24" s="92" t="s">
        <v>20</v>
      </c>
      <c r="C24" s="92" t="s">
        <v>33</v>
      </c>
      <c r="D24" s="105" t="s">
        <v>37</v>
      </c>
      <c r="E24" s="110">
        <v>46217</v>
      </c>
      <c r="F24" s="111">
        <v>46218</v>
      </c>
      <c r="G24" s="93"/>
      <c r="H24" s="43" t="str">
        <f ca="1">IF(Datos!$G24&gt;0,Datos!$G24-Datos!$E24+1 &amp; " " &amp; Idiomas!$A$29,"")</f>
        <v/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/>
      </c>
      <c r="J24" s="104" t="s">
        <v>6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ht="15">
      <c r="A25" s="94" t="s">
        <v>26</v>
      </c>
      <c r="B25" s="95" t="s">
        <v>20</v>
      </c>
      <c r="C25" s="95" t="s">
        <v>38</v>
      </c>
      <c r="D25" s="106" t="s">
        <v>39</v>
      </c>
      <c r="E25" s="112">
        <v>46219</v>
      </c>
      <c r="F25" s="113">
        <v>46220</v>
      </c>
      <c r="G25" s="96"/>
      <c r="H25" s="45" t="str">
        <f ca="1">IF(Datos!$G25&gt;0,Datos!$G25-Datos!$E25+1 &amp; " " &amp; Idiomas!$A$29,"")</f>
        <v/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/>
      </c>
      <c r="J25" s="103" t="s">
        <v>8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ht="15">
      <c r="A26" s="91" t="s">
        <v>26</v>
      </c>
      <c r="B26" s="92" t="s">
        <v>20</v>
      </c>
      <c r="C26" s="92" t="s">
        <v>38</v>
      </c>
      <c r="D26" s="104" t="s">
        <v>40</v>
      </c>
      <c r="E26" s="110">
        <v>46220</v>
      </c>
      <c r="F26" s="111">
        <v>46221</v>
      </c>
      <c r="G26" s="93"/>
      <c r="H26" s="43" t="str">
        <f ca="1">IF(Datos!$G26&gt;0,Datos!$G26-Datos!$E26+1 &amp; " " &amp; Idiomas!$A$29,"")</f>
        <v/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/>
      </c>
      <c r="J26" s="104" t="s">
        <v>6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ht="15">
      <c r="A27" s="94" t="s">
        <v>26</v>
      </c>
      <c r="B27" s="95" t="s">
        <v>20</v>
      </c>
      <c r="C27" s="95" t="s">
        <v>38</v>
      </c>
      <c r="D27" s="103" t="s">
        <v>41</v>
      </c>
      <c r="E27" s="112">
        <v>46221</v>
      </c>
      <c r="F27" s="113">
        <v>46223</v>
      </c>
      <c r="G27" s="96"/>
      <c r="H27" s="45" t="str">
        <f ca="1">IF(Datos!$G27&gt;0,Datos!$G27-Datos!$E27+1 &amp; " " &amp; Idiomas!$A$29,"")</f>
        <v/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/>
      </c>
      <c r="J27" s="103" t="s">
        <v>10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ht="15">
      <c r="A28" s="91" t="s">
        <v>26</v>
      </c>
      <c r="B28" s="92" t="s">
        <v>20</v>
      </c>
      <c r="C28" s="92" t="s">
        <v>38</v>
      </c>
      <c r="D28" s="104" t="s">
        <v>42</v>
      </c>
      <c r="E28" s="110">
        <v>46223</v>
      </c>
      <c r="F28" s="111">
        <v>46224</v>
      </c>
      <c r="G28" s="93"/>
      <c r="H28" s="43" t="str">
        <f ca="1">IF(Datos!$G28&gt;0,Datos!$G28-Datos!$E28+1 &amp; " " &amp; Idiomas!$A$29,"")</f>
        <v/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/>
      </c>
      <c r="J28" s="104" t="s">
        <v>8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ht="15">
      <c r="A29" s="94" t="s">
        <v>26</v>
      </c>
      <c r="B29" s="95" t="s">
        <v>20</v>
      </c>
      <c r="C29" s="95" t="s">
        <v>38</v>
      </c>
      <c r="D29" s="103" t="s">
        <v>43</v>
      </c>
      <c r="E29" s="112">
        <v>46224</v>
      </c>
      <c r="F29" s="113">
        <v>46225</v>
      </c>
      <c r="G29" s="96"/>
      <c r="H29" s="45" t="str">
        <f ca="1">IF(Datos!$G29&gt;0,Datos!$G29-Datos!$E29+1 &amp; " " &amp; Idiomas!$A$29,"")</f>
        <v/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/>
      </c>
      <c r="J29" s="103" t="s">
        <v>6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ht="15">
      <c r="A30" s="91" t="s">
        <v>26</v>
      </c>
      <c r="B30" s="92" t="s">
        <v>20</v>
      </c>
      <c r="C30" s="92" t="s">
        <v>44</v>
      </c>
      <c r="D30" s="104" t="s">
        <v>45</v>
      </c>
      <c r="E30" s="110">
        <v>46226</v>
      </c>
      <c r="F30" s="111">
        <v>46227</v>
      </c>
      <c r="G30" s="93"/>
      <c r="H30" s="43" t="str">
        <f ca="1">IF(Datos!$G30&gt;0,Datos!$G30-Datos!$E30+1 &amp; " " &amp; Idiomas!$A$29,"")</f>
        <v/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/>
      </c>
      <c r="J30" s="104" t="s">
        <v>6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ht="15">
      <c r="A31" s="94" t="s">
        <v>26</v>
      </c>
      <c r="B31" s="95" t="s">
        <v>20</v>
      </c>
      <c r="C31" s="95" t="s">
        <v>44</v>
      </c>
      <c r="D31" s="103" t="s">
        <v>46</v>
      </c>
      <c r="E31" s="112">
        <v>46227</v>
      </c>
      <c r="F31" s="113">
        <v>46228</v>
      </c>
      <c r="G31" s="96"/>
      <c r="H31" s="45" t="str">
        <f ca="1">IF(Datos!$G31&gt;0,Datos!$G31-Datos!$E31+1 &amp; " " &amp; Idiomas!$A$29,"")</f>
        <v/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/>
      </c>
      <c r="J31" s="103" t="s">
        <v>8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ht="15">
      <c r="A32" s="91" t="s">
        <v>26</v>
      </c>
      <c r="B32" s="92" t="s">
        <v>20</v>
      </c>
      <c r="C32" s="92" t="s">
        <v>44</v>
      </c>
      <c r="D32" s="104" t="s">
        <v>47</v>
      </c>
      <c r="E32" s="110">
        <v>46228</v>
      </c>
      <c r="F32" s="111">
        <v>46229</v>
      </c>
      <c r="G32" s="93"/>
      <c r="H32" s="43" t="str">
        <f ca="1">IF(Datos!$G32&gt;0,Datos!$G32-Datos!$E32+1 &amp; " " &amp; Idiomas!$A$29,"")</f>
        <v/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/>
      </c>
      <c r="J32" s="104" t="s">
        <v>10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ht="15">
      <c r="A33" s="94" t="s">
        <v>26</v>
      </c>
      <c r="B33" s="95" t="s">
        <v>20</v>
      </c>
      <c r="C33" s="95" t="s">
        <v>44</v>
      </c>
      <c r="D33" s="103" t="s">
        <v>48</v>
      </c>
      <c r="E33" s="112">
        <v>46229</v>
      </c>
      <c r="F33" s="113">
        <v>46230</v>
      </c>
      <c r="G33" s="96"/>
      <c r="H33" s="45" t="str">
        <f ca="1">IF(Datos!$G33&gt;0,Datos!$G33-Datos!$E33+1 &amp; " " &amp; Idiomas!$A$29,"")</f>
        <v/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/>
      </c>
      <c r="J33" s="103" t="s">
        <v>6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ht="15">
      <c r="A34" s="91" t="s">
        <v>26</v>
      </c>
      <c r="B34" s="92" t="s">
        <v>20</v>
      </c>
      <c r="C34" s="92" t="s">
        <v>44</v>
      </c>
      <c r="D34" s="104" t="s">
        <v>49</v>
      </c>
      <c r="E34" s="110">
        <v>46230</v>
      </c>
      <c r="F34" s="111">
        <v>46231</v>
      </c>
      <c r="G34" s="93"/>
      <c r="H34" s="43" t="str">
        <f ca="1">IF(Datos!$G34&gt;0,Datos!$G34-Datos!$E34+1 &amp; " " &amp; Idiomas!$A$29,"")</f>
        <v/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/>
      </c>
      <c r="J34" s="104" t="s">
        <v>8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ht="15">
      <c r="A35" s="94" t="s">
        <v>26</v>
      </c>
      <c r="B35" s="95" t="s">
        <v>50</v>
      </c>
      <c r="C35" s="95" t="s">
        <v>51</v>
      </c>
      <c r="D35" s="103" t="s">
        <v>52</v>
      </c>
      <c r="E35" s="112">
        <v>46232</v>
      </c>
      <c r="F35" s="113">
        <v>46233</v>
      </c>
      <c r="G35" s="96"/>
      <c r="H35" s="45" t="str">
        <f ca="1">IF(Datos!$G35&gt;0,Datos!$G35-Datos!$E35+1 &amp; " " &amp; Idiomas!$A$29,"")</f>
        <v/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/>
      </c>
      <c r="J35" s="103" t="s">
        <v>10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ht="15">
      <c r="A36" s="91" t="s">
        <v>26</v>
      </c>
      <c r="B36" s="92" t="s">
        <v>50</v>
      </c>
      <c r="C36" s="92" t="s">
        <v>51</v>
      </c>
      <c r="D36" s="104" t="s">
        <v>53</v>
      </c>
      <c r="E36" s="110">
        <v>46232</v>
      </c>
      <c r="F36" s="111">
        <v>46233</v>
      </c>
      <c r="G36" s="93"/>
      <c r="H36" s="43" t="str">
        <f ca="1">IF(Datos!$G36&gt;0,Datos!$G36-Datos!$E36+1 &amp; " " &amp; Idiomas!$A$29,"")</f>
        <v/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/>
      </c>
      <c r="J36" s="104" t="s">
        <v>6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ht="15">
      <c r="A37" s="94" t="s">
        <v>26</v>
      </c>
      <c r="B37" s="95" t="s">
        <v>50</v>
      </c>
      <c r="C37" s="95" t="s">
        <v>51</v>
      </c>
      <c r="D37" s="103" t="s">
        <v>54</v>
      </c>
      <c r="E37" s="112">
        <v>46233</v>
      </c>
      <c r="F37" s="113">
        <v>46234</v>
      </c>
      <c r="G37" s="96"/>
      <c r="H37" s="45" t="str">
        <f ca="1">IF(Datos!$G37&gt;0,Datos!$G37-Datos!$E37+1 &amp; " " &amp; Idiomas!$A$29,"")</f>
        <v/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/>
      </c>
      <c r="J37" s="103" t="s">
        <v>8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ht="15">
      <c r="A38" s="91" t="s">
        <v>26</v>
      </c>
      <c r="B38" s="92" t="s">
        <v>50</v>
      </c>
      <c r="C38" s="92" t="s">
        <v>51</v>
      </c>
      <c r="D38" s="107" t="s">
        <v>55</v>
      </c>
      <c r="E38" s="119">
        <v>46234</v>
      </c>
      <c r="F38" s="120">
        <v>46235</v>
      </c>
      <c r="G38" s="93"/>
      <c r="H38" s="43" t="str">
        <f ca="1">IF(Datos!$G38&gt;0,Datos!$G38-Datos!$E38+1 &amp; " " &amp; Idiomas!$A$29,"")</f>
        <v/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/>
      </c>
      <c r="J38" s="105" t="s">
        <v>10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>
      <c r="A39" s="94"/>
      <c r="B39" s="95"/>
      <c r="C39" s="95"/>
      <c r="D39" s="95"/>
      <c r="E39" s="96"/>
      <c r="F39" s="96"/>
      <c r="G39" s="96"/>
      <c r="H39" s="45" t="str">
        <f ca="1">IF(Datos!$G39&gt;0,Datos!$G39-Datos!$E39+1 &amp; " " &amp; Idiomas!$A$29,"")</f>
        <v/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/>
      </c>
      <c r="J39" s="95" t="s">
        <v>56</v>
      </c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>
      <c r="A40" s="91"/>
      <c r="B40" s="92"/>
      <c r="C40" s="92"/>
      <c r="D40" s="92"/>
      <c r="E40" s="93"/>
      <c r="F40" s="93"/>
      <c r="G40" s="93"/>
      <c r="H40" s="43" t="str">
        <f ca="1">IF(Datos!$G40&gt;0,Datos!$G40-Datos!$E40+1 &amp; " " &amp; Idiomas!$A$29,"")</f>
        <v/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/>
      </c>
      <c r="J40" s="92" t="s">
        <v>56</v>
      </c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>
      <c r="A41" s="94"/>
      <c r="B41" s="95"/>
      <c r="C41" s="95"/>
      <c r="D41" s="95"/>
      <c r="E41" s="96"/>
      <c r="F41" s="96"/>
      <c r="G41" s="96"/>
      <c r="H41" s="45" t="str">
        <f ca="1">IF(Datos!$G41&gt;0,Datos!$G41-Datos!$E41+1 &amp; " " &amp; Idiomas!$A$29,"")</f>
        <v/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/>
      </c>
      <c r="J41" s="95" t="s">
        <v>56</v>
      </c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>
      <c r="A42" s="91"/>
      <c r="B42" s="92"/>
      <c r="C42" s="92"/>
      <c r="D42" s="92"/>
      <c r="E42" s="93"/>
      <c r="F42" s="93"/>
      <c r="G42" s="93"/>
      <c r="H42" s="43" t="str">
        <f ca="1">IF(Datos!$G42&gt;0,Datos!$G42-Datos!$E42+1 &amp; " " &amp; Idiomas!$A$29,"")</f>
        <v/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/>
      </c>
      <c r="J42" s="92" t="s">
        <v>57</v>
      </c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>
      <c r="A43" s="94"/>
      <c r="B43" s="95"/>
      <c r="C43" s="95"/>
      <c r="D43" s="95"/>
      <c r="E43" s="96"/>
      <c r="F43" s="96"/>
      <c r="G43" s="96"/>
      <c r="H43" s="45" t="str">
        <f ca="1">IF(Datos!$G43&gt;0,Datos!$G43-Datos!$E43+1 &amp; " " &amp; Idiomas!$A$29,"")</f>
        <v/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/>
      </c>
      <c r="J43" s="95" t="s">
        <v>57</v>
      </c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>
      <c r="A44" s="91"/>
      <c r="B44" s="92"/>
      <c r="C44" s="92"/>
      <c r="D44" s="92"/>
      <c r="E44" s="93"/>
      <c r="F44" s="93"/>
      <c r="G44" s="93"/>
      <c r="H44" s="43" t="str">
        <f ca="1">IF(Datos!$G44&gt;0,Datos!$G44-Datos!$E44+1 &amp; " " &amp; Idiomas!$A$29,"")</f>
        <v/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/>
      </c>
      <c r="J44" s="92" t="s">
        <v>57</v>
      </c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>
      <c r="A45" s="94"/>
      <c r="B45" s="95"/>
      <c r="C45" s="95"/>
      <c r="D45" s="95"/>
      <c r="E45" s="96"/>
      <c r="F45" s="96"/>
      <c r="G45" s="96"/>
      <c r="H45" s="45" t="str">
        <f ca="1">IF(Datos!$G45&gt;0,Datos!$G45-Datos!$E45+1 &amp; " " &amp; Idiomas!$A$29,"")</f>
        <v/>
      </c>
      <c r="I45" s="4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/>
      </c>
      <c r="J45" s="95" t="s">
        <v>57</v>
      </c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>
      <c r="A46" s="91"/>
      <c r="B46" s="92"/>
      <c r="C46" s="92"/>
      <c r="D46" s="92"/>
      <c r="E46" s="93"/>
      <c r="F46" s="93"/>
      <c r="G46" s="93"/>
      <c r="H46" s="43" t="str">
        <f ca="1">IF(Datos!$G46&gt;0,Datos!$G46-Datos!$E46+1 &amp; " " &amp; Idiomas!$A$29,"")</f>
        <v/>
      </c>
      <c r="I46" s="43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/>
      </c>
      <c r="J46" s="92" t="s">
        <v>57</v>
      </c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>
      <c r="A47" s="94"/>
      <c r="B47" s="95"/>
      <c r="C47" s="95"/>
      <c r="D47" s="95"/>
      <c r="E47" s="96"/>
      <c r="F47" s="96"/>
      <c r="G47" s="96"/>
      <c r="H47" s="45" t="str">
        <f ca="1">IF(Datos!$G47&gt;0,Datos!$G47-Datos!$E47+1 &amp; " " &amp; Idiomas!$A$29,"")</f>
        <v/>
      </c>
      <c r="I47" s="45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/>
      </c>
      <c r="J47" s="95" t="s">
        <v>58</v>
      </c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>
      <c r="A48" s="91"/>
      <c r="B48" s="92"/>
      <c r="C48" s="92"/>
      <c r="D48" s="92"/>
      <c r="E48" s="93"/>
      <c r="F48" s="93"/>
      <c r="G48" s="93"/>
      <c r="H48" s="43" t="str">
        <f ca="1">IF(Datos!$G48&gt;0,Datos!$G48-Datos!$E48+1 &amp; " " &amp; Idiomas!$A$29,"")</f>
        <v/>
      </c>
      <c r="I48" s="43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/>
      </c>
      <c r="J48" s="92" t="s">
        <v>58</v>
      </c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>
      <c r="A49" s="94"/>
      <c r="B49" s="95"/>
      <c r="C49" s="95"/>
      <c r="D49" s="95"/>
      <c r="E49" s="96"/>
      <c r="F49" s="96"/>
      <c r="G49" s="96"/>
      <c r="H49" s="45" t="str">
        <f ca="1">IF(Datos!$G49&gt;0,Datos!$G49-Datos!$E49+1 &amp; " " &amp; Idiomas!$A$29,"")</f>
        <v/>
      </c>
      <c r="I49" s="45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/>
      </c>
      <c r="J49" s="95" t="s">
        <v>59</v>
      </c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>
      <c r="A50" s="91"/>
      <c r="B50" s="92"/>
      <c r="C50" s="92"/>
      <c r="D50" s="92"/>
      <c r="E50" s="93"/>
      <c r="F50" s="93"/>
      <c r="G50" s="93"/>
      <c r="H50" s="43" t="str">
        <f ca="1">IF(Datos!$G50&gt;0,Datos!$G50-Datos!$E50+1 &amp; " " &amp; Idiomas!$A$29,"")</f>
        <v/>
      </c>
      <c r="I50" s="43" t="str" cm="1">
        <f t="array" aca="1" ref="I50" ca="1">IF(OR(Datos!$G50="",Datos!$A50=""),"",IF(AND(Datos!$G50=0,Datos!$F50&gt;0,Fecha_Hoy&gt;Datos!$F50),Fecha_Hoy-Datos!$F50,IF(Datos!$F50&lt;Datos!$G50,Datos!$G50-Datos!$F50,0))&amp; " " &amp; Idiomas!$A$29)</f>
        <v/>
      </c>
      <c r="J50" s="92" t="s">
        <v>58</v>
      </c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>
      <c r="A51" s="94"/>
      <c r="B51" s="95"/>
      <c r="C51" s="95"/>
      <c r="D51" s="95"/>
      <c r="E51" s="96"/>
      <c r="F51" s="96"/>
      <c r="G51" s="96"/>
      <c r="H51" s="45" t="str">
        <f ca="1">IF(Datos!$G51&gt;0,Datos!$G51-Datos!$E51+1 &amp; " " &amp; Idiomas!$A$29,"")</f>
        <v/>
      </c>
      <c r="I51" s="45" t="str" cm="1">
        <f t="array" aca="1" ref="I51" ca="1">IF(OR(Datos!$G51="",Datos!$A51=""),"",IF(AND(Datos!$G51=0,Datos!$F51&gt;0,Fecha_Hoy&gt;Datos!$F51),Fecha_Hoy-Datos!$F51,IF(Datos!$F51&lt;Datos!$G51,Datos!$G51-Datos!$F51,0))&amp; " " &amp; Idiomas!$A$29)</f>
        <v/>
      </c>
      <c r="J51" s="95" t="s">
        <v>58</v>
      </c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>
      <c r="A52" s="91"/>
      <c r="B52" s="92"/>
      <c r="C52" s="92"/>
      <c r="D52" s="92"/>
      <c r="E52" s="93"/>
      <c r="F52" s="93"/>
      <c r="G52" s="93"/>
      <c r="H52" s="43" t="str">
        <f ca="1">IF(Datos!$G52&gt;0,Datos!$G52-Datos!$E52+1 &amp; " " &amp; Idiomas!$A$29,"")</f>
        <v/>
      </c>
      <c r="I52" s="43" t="str" cm="1">
        <f t="array" aca="1" ref="I52" ca="1">IF(OR(Datos!$G52="",Datos!$A52=""),"",IF(AND(Datos!$G52=0,Datos!$F52&gt;0,Fecha_Hoy&gt;Datos!$F52),Fecha_Hoy-Datos!$F52,IF(Datos!$F52&lt;Datos!$G52,Datos!$G52-Datos!$F52,0))&amp; " " &amp; Idiomas!$A$29)</f>
        <v/>
      </c>
      <c r="J52" s="92" t="s">
        <v>56</v>
      </c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>
      <c r="A53" s="94"/>
      <c r="B53" s="95"/>
      <c r="C53" s="95"/>
      <c r="D53" s="95"/>
      <c r="E53" s="96"/>
      <c r="F53" s="96"/>
      <c r="G53" s="96"/>
      <c r="H53" s="45" t="str">
        <f ca="1">IF(Datos!$G53&gt;0,Datos!$G53-Datos!$E53+1 &amp; " " &amp; Idiomas!$A$29,"")</f>
        <v/>
      </c>
      <c r="I53" s="45" t="str" cm="1">
        <f t="array" aca="1" ref="I53" ca="1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>
      <c r="A54" s="91"/>
      <c r="B54" s="92"/>
      <c r="C54" s="92"/>
      <c r="D54" s="92"/>
      <c r="E54" s="93"/>
      <c r="F54" s="93"/>
      <c r="G54" s="93"/>
      <c r="H54" s="43" t="str">
        <f ca="1">IF(Datos!$G54&gt;0,Datos!$G54-Datos!$E54+1 &amp; " " &amp; Idiomas!$A$29,"")</f>
        <v/>
      </c>
      <c r="I54" s="43" t="str" cm="1">
        <f t="array" aca="1" ref="I54" ca="1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>
      <c r="A55" s="94"/>
      <c r="B55" s="95"/>
      <c r="C55" s="95"/>
      <c r="D55" s="95"/>
      <c r="E55" s="96"/>
      <c r="F55" s="96"/>
      <c r="G55" s="96"/>
      <c r="H55" s="45" t="str">
        <f ca="1">IF(Datos!$G55&gt;0,Datos!$G55-Datos!$E55+1 &amp; " " &amp; Idiomas!$A$29,"")</f>
        <v/>
      </c>
      <c r="I55" s="45" t="str" cm="1">
        <f t="array" aca="1" ref="I55" ca="1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>
      <c r="A56" s="91"/>
      <c r="B56" s="92"/>
      <c r="C56" s="92"/>
      <c r="D56" s="92"/>
      <c r="E56" s="93"/>
      <c r="F56" s="93"/>
      <c r="G56" s="93"/>
      <c r="H56" s="43" t="str">
        <f ca="1">IF(Datos!$G56&gt;0,Datos!$G56-Datos!$E56+1 &amp; " " &amp; Idiomas!$A$29,"")</f>
        <v/>
      </c>
      <c r="I56" s="43" t="str" cm="1">
        <f t="array" aca="1" ref="I56" ca="1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>
      <c r="A57" s="94"/>
      <c r="B57" s="95"/>
      <c r="C57" s="95"/>
      <c r="D57" s="95"/>
      <c r="E57" s="96"/>
      <c r="F57" s="96"/>
      <c r="G57" s="96"/>
      <c r="H57" s="45" t="str">
        <f ca="1">IF(Datos!$G57&gt;0,Datos!$G57-Datos!$E57+1 &amp; " " &amp; Idiomas!$A$29,"")</f>
        <v/>
      </c>
      <c r="I57" s="45" t="str" cm="1">
        <f t="array" aca="1" ref="I57" ca="1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>
      <c r="A58" s="91"/>
      <c r="B58" s="92"/>
      <c r="C58" s="92"/>
      <c r="D58" s="92"/>
      <c r="E58" s="93"/>
      <c r="F58" s="93"/>
      <c r="G58" s="93"/>
      <c r="H58" s="43" t="str">
        <f ca="1">IF(Datos!$G58&gt;0,Datos!$G58-Datos!$E58+1 &amp; " " &amp; Idiomas!$A$29,"")</f>
        <v/>
      </c>
      <c r="I58" s="43" t="str" cm="1">
        <f t="array" aca="1" ref="I58" ca="1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>
      <c r="A59" s="94"/>
      <c r="B59" s="95"/>
      <c r="C59" s="95"/>
      <c r="D59" s="95"/>
      <c r="E59" s="96"/>
      <c r="F59" s="96"/>
      <c r="G59" s="96"/>
      <c r="H59" s="45" t="str">
        <f ca="1">IF(Datos!$G59&gt;0,Datos!$G59-Datos!$E59+1 &amp; " " &amp; Idiomas!$A$29,"")</f>
        <v/>
      </c>
      <c r="I59" s="45" t="str" cm="1">
        <f t="array" aca="1" ref="I59" ca="1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>
      <c r="A60" s="91"/>
      <c r="B60" s="92"/>
      <c r="C60" s="92"/>
      <c r="D60" s="92"/>
      <c r="E60" s="93"/>
      <c r="F60" s="93"/>
      <c r="G60" s="93"/>
      <c r="H60" s="43" t="str">
        <f ca="1">IF(Datos!$G60&gt;0,Datos!$G60-Datos!$E60+1 &amp; " " &amp; Idiomas!$A$29,"")</f>
        <v/>
      </c>
      <c r="I60" s="43" t="str" cm="1">
        <f t="array" aca="1" ref="I60" ca="1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>
      <c r="A61" s="94"/>
      <c r="B61" s="95"/>
      <c r="C61" s="95"/>
      <c r="D61" s="95"/>
      <c r="E61" s="96"/>
      <c r="F61" s="96"/>
      <c r="G61" s="96"/>
      <c r="H61" s="45" t="str">
        <f ca="1">IF(Datos!$G61&gt;0,Datos!$G61-Datos!$E61+1 &amp; " " &amp; Idiomas!$A$29,"")</f>
        <v/>
      </c>
      <c r="I61" s="45" t="str" cm="1">
        <f t="array" aca="1" ref="I61" ca="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>
      <c r="A62" s="91"/>
      <c r="B62" s="92"/>
      <c r="C62" s="92"/>
      <c r="D62" s="92"/>
      <c r="E62" s="93"/>
      <c r="F62" s="93"/>
      <c r="G62" s="93"/>
      <c r="H62" s="43" t="str">
        <f ca="1">IF(Datos!$G62&gt;0,Datos!$G62-Datos!$E62+1 &amp; " " &amp; Idiomas!$A$29,"")</f>
        <v/>
      </c>
      <c r="I62" s="43" t="str" cm="1">
        <f t="array" aca="1" ref="I62" ca="1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>
      <c r="A63" s="94"/>
      <c r="B63" s="95"/>
      <c r="C63" s="95"/>
      <c r="D63" s="95"/>
      <c r="E63" s="96"/>
      <c r="F63" s="96"/>
      <c r="G63" s="96"/>
      <c r="H63" s="45" t="str">
        <f ca="1">IF(Datos!$G63&gt;0,Datos!$G63-Datos!$E63+1 &amp; " " &amp; Idiomas!$A$29,"")</f>
        <v/>
      </c>
      <c r="I63" s="45" t="str" cm="1">
        <f t="array" aca="1" ref="I63" ca="1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>
      <c r="A64" s="91"/>
      <c r="B64" s="92"/>
      <c r="C64" s="92"/>
      <c r="D64" s="92"/>
      <c r="E64" s="93"/>
      <c r="F64" s="93"/>
      <c r="G64" s="93"/>
      <c r="H64" s="43" t="str">
        <f ca="1">IF(Datos!$G64&gt;0,Datos!$G64-Datos!$E64+1 &amp; " " &amp; Idiomas!$A$29,"")</f>
        <v/>
      </c>
      <c r="I64" s="43" t="str" cm="1">
        <f t="array" aca="1" ref="I64" ca="1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>
      <c r="A65" s="94"/>
      <c r="B65" s="95"/>
      <c r="C65" s="95"/>
      <c r="D65" s="95"/>
      <c r="E65" s="96"/>
      <c r="F65" s="96"/>
      <c r="G65" s="96"/>
      <c r="H65" s="45" t="str">
        <f ca="1">IF(Datos!$G65&gt;0,Datos!$G65-Datos!$E65+1 &amp; " " &amp; Idiomas!$A$29,"")</f>
        <v/>
      </c>
      <c r="I65" s="45" t="str" cm="1">
        <f t="array" aca="1" ref="I65" ca="1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>
      <c r="A66" s="91"/>
      <c r="B66" s="92"/>
      <c r="C66" s="92"/>
      <c r="D66" s="92"/>
      <c r="E66" s="93"/>
      <c r="F66" s="93"/>
      <c r="G66" s="93"/>
      <c r="H66" s="43" t="str">
        <f ca="1">IF(Datos!$G66&gt;0,Datos!$G66-Datos!$E66+1 &amp; " " &amp; Idiomas!$A$29,"")</f>
        <v/>
      </c>
      <c r="I66" s="43" t="str" cm="1">
        <f t="array" aca="1" ref="I66" ca="1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>
      <c r="A67" s="94"/>
      <c r="B67" s="95"/>
      <c r="C67" s="95"/>
      <c r="D67" s="95"/>
      <c r="E67" s="96"/>
      <c r="F67" s="96"/>
      <c r="G67" s="96"/>
      <c r="H67" s="45" t="str">
        <f ca="1">IF(Datos!$G67&gt;0,Datos!$G67-Datos!$E67+1 &amp; " " &amp; Idiomas!$A$29,"")</f>
        <v/>
      </c>
      <c r="I67" s="45" t="str" cm="1">
        <f t="array" aca="1" ref="I67" ca="1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>
      <c r="A68" s="91"/>
      <c r="B68" s="92"/>
      <c r="C68" s="92"/>
      <c r="D68" s="92"/>
      <c r="E68" s="93"/>
      <c r="F68" s="93"/>
      <c r="G68" s="93"/>
      <c r="H68" s="43" t="str">
        <f ca="1">IF(Datos!$G68&gt;0,Datos!$G68-Datos!$E68+1 &amp; " " &amp; Idiomas!$A$29,"")</f>
        <v/>
      </c>
      <c r="I68" s="43" t="str" cm="1">
        <f t="array" aca="1" ref="I68" ca="1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>
      <c r="A69" s="94"/>
      <c r="B69" s="95"/>
      <c r="C69" s="95"/>
      <c r="D69" s="95"/>
      <c r="E69" s="96"/>
      <c r="F69" s="96"/>
      <c r="G69" s="96"/>
      <c r="H69" s="45" t="str">
        <f ca="1">IF(Datos!$G69&gt;0,Datos!$G69-Datos!$E69+1 &amp; " " &amp; Idiomas!$A$29,"")</f>
        <v/>
      </c>
      <c r="I69" s="45" t="str" cm="1">
        <f t="array" aca="1" ref="I69" ca="1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>
      <c r="A70" s="91"/>
      <c r="B70" s="92"/>
      <c r="C70" s="92"/>
      <c r="D70" s="92"/>
      <c r="E70" s="93"/>
      <c r="F70" s="93"/>
      <c r="G70" s="93"/>
      <c r="H70" s="43" t="str">
        <f ca="1">IF(Datos!$G70&gt;0,Datos!$G70-Datos!$E70+1 &amp; " " &amp; Idiomas!$A$29,"")</f>
        <v/>
      </c>
      <c r="I70" s="43" t="str" cm="1">
        <f t="array" aca="1" ref="I70" ca="1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>
      <c r="A71" s="94"/>
      <c r="B71" s="95"/>
      <c r="C71" s="95"/>
      <c r="D71" s="95"/>
      <c r="E71" s="96"/>
      <c r="F71" s="96"/>
      <c r="G71" s="96"/>
      <c r="H71" s="45" t="str">
        <f ca="1">IF(Datos!$G71&gt;0,Datos!$G71-Datos!$E71+1 &amp; " " &amp; Idiomas!$A$29,"")</f>
        <v/>
      </c>
      <c r="I71" s="45" t="str" cm="1">
        <f t="array" aca="1" ref="I71" ca="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>
      <c r="A72" s="91"/>
      <c r="B72" s="92"/>
      <c r="C72" s="92"/>
      <c r="D72" s="92"/>
      <c r="E72" s="93"/>
      <c r="F72" s="93"/>
      <c r="G72" s="93"/>
      <c r="H72" s="43" t="str">
        <f ca="1">IF(Datos!$G72&gt;0,Datos!$G72-Datos!$E72+1 &amp; " " &amp; Idiomas!$A$29,"")</f>
        <v/>
      </c>
      <c r="I72" s="43" t="str" cm="1">
        <f t="array" aca="1" ref="I72" ca="1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>
      <c r="A73" s="94"/>
      <c r="B73" s="95"/>
      <c r="C73" s="95"/>
      <c r="D73" s="95"/>
      <c r="E73" s="96"/>
      <c r="F73" s="96"/>
      <c r="G73" s="96"/>
      <c r="H73" s="45" t="str">
        <f ca="1">IF(Datos!$G73&gt;0,Datos!$G73-Datos!$E73+1 &amp; " " &amp; Idiomas!$A$29,"")</f>
        <v/>
      </c>
      <c r="I73" s="45" t="str" cm="1">
        <f t="array" aca="1" ref="I73" ca="1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>
      <c r="A74" s="91"/>
      <c r="B74" s="92"/>
      <c r="C74" s="92"/>
      <c r="D74" s="92"/>
      <c r="E74" s="93"/>
      <c r="F74" s="93"/>
      <c r="G74" s="93"/>
      <c r="H74" s="43" t="str">
        <f ca="1">IF(Datos!$G74&gt;0,Datos!$G74-Datos!$E74+1 &amp; " " &amp; Idiomas!$A$29,"")</f>
        <v/>
      </c>
      <c r="I74" s="43" t="str" cm="1">
        <f t="array" aca="1" ref="I74" ca="1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>
      <c r="A75" s="94"/>
      <c r="B75" s="95"/>
      <c r="C75" s="95"/>
      <c r="D75" s="95"/>
      <c r="E75" s="96"/>
      <c r="F75" s="96"/>
      <c r="G75" s="96"/>
      <c r="H75" s="45" t="str">
        <f ca="1">IF(Datos!$G75&gt;0,Datos!$G75-Datos!$E75+1 &amp; " " &amp; Idiomas!$A$29,"")</f>
        <v/>
      </c>
      <c r="I75" s="45" t="str" cm="1">
        <f t="array" aca="1" ref="I75" ca="1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>
      <c r="A76" s="91"/>
      <c r="B76" s="92"/>
      <c r="C76" s="92"/>
      <c r="D76" s="92"/>
      <c r="E76" s="93"/>
      <c r="F76" s="93"/>
      <c r="G76" s="93"/>
      <c r="H76" s="43" t="str">
        <f ca="1">IF(Datos!$G76&gt;0,Datos!$G76-Datos!$E76+1 &amp; " " &amp; Idiomas!$A$29,"")</f>
        <v/>
      </c>
      <c r="I76" s="43" t="str" cm="1">
        <f t="array" aca="1" ref="I76" ca="1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>
      <c r="A77" s="94"/>
      <c r="B77" s="95"/>
      <c r="C77" s="95"/>
      <c r="D77" s="95"/>
      <c r="E77" s="96"/>
      <c r="F77" s="96"/>
      <c r="G77" s="96"/>
      <c r="H77" s="45" t="str">
        <f ca="1">IF(Datos!$G77&gt;0,Datos!$G77-Datos!$E77+1 &amp; " " &amp; Idiomas!$A$29,"")</f>
        <v/>
      </c>
      <c r="I77" s="45" t="str" cm="1">
        <f t="array" aca="1" ref="I77" ca="1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>
      <c r="A78" s="91"/>
      <c r="B78" s="92"/>
      <c r="C78" s="92"/>
      <c r="D78" s="92"/>
      <c r="E78" s="93"/>
      <c r="F78" s="93"/>
      <c r="G78" s="93"/>
      <c r="H78" s="43" t="str">
        <f ca="1">IF(Datos!$G78&gt;0,Datos!$G78-Datos!$E78+1 &amp; " " &amp; Idiomas!$A$29,"")</f>
        <v/>
      </c>
      <c r="I78" s="43" t="str" cm="1">
        <f t="array" aca="1" ref="I78" ca="1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>
      <c r="A79" s="94"/>
      <c r="B79" s="95"/>
      <c r="C79" s="95"/>
      <c r="D79" s="95"/>
      <c r="E79" s="96"/>
      <c r="F79" s="96"/>
      <c r="G79" s="96"/>
      <c r="H79" s="45" t="str">
        <f ca="1">IF(Datos!$G79&gt;0,Datos!$G79-Datos!$E79+1 &amp; " " &amp; Idiomas!$A$29,"")</f>
        <v/>
      </c>
      <c r="I79" s="45" t="str" cm="1">
        <f t="array" aca="1" ref="I79" ca="1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>
      <c r="A80" s="91"/>
      <c r="B80" s="92"/>
      <c r="C80" s="92"/>
      <c r="D80" s="92"/>
      <c r="E80" s="93"/>
      <c r="F80" s="93"/>
      <c r="G80" s="93"/>
      <c r="H80" s="43" t="str">
        <f ca="1">IF(Datos!$G80&gt;0,Datos!$G80-Datos!$E80+1 &amp; " " &amp; Idiomas!$A$29,"")</f>
        <v/>
      </c>
      <c r="I80" s="43" t="str" cm="1">
        <f t="array" aca="1" ref="I80" ca="1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>
      <c r="A81" s="94"/>
      <c r="B81" s="95"/>
      <c r="C81" s="95"/>
      <c r="D81" s="95"/>
      <c r="E81" s="96"/>
      <c r="F81" s="96"/>
      <c r="G81" s="96"/>
      <c r="H81" s="45" t="str">
        <f ca="1">IF(Datos!$G81&gt;0,Datos!$G81-Datos!$E81+1 &amp; " " &amp; Idiomas!$A$29,"")</f>
        <v/>
      </c>
      <c r="I81" s="45" t="str" cm="1">
        <f t="array" aca="1" ref="I81" ca="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>
      <c r="A82" s="91"/>
      <c r="B82" s="92"/>
      <c r="C82" s="92"/>
      <c r="D82" s="92"/>
      <c r="E82" s="93"/>
      <c r="F82" s="93"/>
      <c r="G82" s="93"/>
      <c r="H82" s="43" t="str">
        <f ca="1">IF(Datos!$G82&gt;0,Datos!$G82-Datos!$E82+1 &amp; " " &amp; Idiomas!$A$29,"")</f>
        <v/>
      </c>
      <c r="I82" s="43" t="str" cm="1">
        <f t="array" aca="1" ref="I82" ca="1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>
      <c r="A83" s="94"/>
      <c r="B83" s="95"/>
      <c r="C83" s="95"/>
      <c r="D83" s="95"/>
      <c r="E83" s="96"/>
      <c r="F83" s="96"/>
      <c r="G83" s="96"/>
      <c r="H83" s="45" t="str">
        <f ca="1">IF(Datos!$G83&gt;0,Datos!$G83-Datos!$E83+1 &amp; " " &amp; Idiomas!$A$29,"")</f>
        <v/>
      </c>
      <c r="I83" s="45" t="str" cm="1">
        <f t="array" aca="1" ref="I83" ca="1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>
      <c r="A84" s="91"/>
      <c r="B84" s="92"/>
      <c r="C84" s="92"/>
      <c r="D84" s="92"/>
      <c r="E84" s="93"/>
      <c r="F84" s="93"/>
      <c r="G84" s="93"/>
      <c r="H84" s="43" t="str">
        <f ca="1">IF(Datos!$G84&gt;0,Datos!$G84-Datos!$E84+1 &amp; " " &amp; Idiomas!$A$29,"")</f>
        <v/>
      </c>
      <c r="I84" s="43" t="str" cm="1">
        <f t="array" aca="1" ref="I84" ca="1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>
      <c r="A85" s="94" t="s">
        <v>14</v>
      </c>
      <c r="B85" s="95" t="s">
        <v>60</v>
      </c>
      <c r="C85" s="95"/>
      <c r="D85" s="95"/>
      <c r="E85" s="96"/>
      <c r="F85" s="96"/>
      <c r="G85" s="96"/>
      <c r="H85" s="45" t="str">
        <f ca="1">IF(Datos!$G85&gt;0,Datos!$G85-Datos!$E85+1 &amp; " " &amp; Idiomas!$A$29,"")</f>
        <v/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>
      <c r="A86" s="91"/>
      <c r="B86" s="92"/>
      <c r="C86" s="92"/>
      <c r="D86" s="92"/>
      <c r="E86" s="93"/>
      <c r="F86" s="93"/>
      <c r="G86" s="93"/>
      <c r="H86" s="43" t="str">
        <f ca="1">IF(Datos!$G86&gt;0,Datos!$G86-Datos!$E86+1 &amp; " " &amp; Idiomas!$A$29,"")</f>
        <v/>
      </c>
      <c r="I86" s="43" t="str" cm="1">
        <f t="array" aca="1" ref="I86" ca="1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>
      <c r="A87" s="94"/>
      <c r="B87" s="95"/>
      <c r="C87" s="95"/>
      <c r="D87" s="95"/>
      <c r="E87" s="96"/>
      <c r="F87" s="96"/>
      <c r="G87" s="96"/>
      <c r="H87" s="45" t="str">
        <f ca="1">IF(Datos!$G87&gt;0,Datos!$G87-Datos!$E87+1 &amp; " " &amp; Idiomas!$A$29,"")</f>
        <v/>
      </c>
      <c r="I87" s="45" t="str" cm="1">
        <f t="array" aca="1" ref="I87" ca="1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>
      <c r="A88" s="91"/>
      <c r="B88" s="92"/>
      <c r="C88" s="92"/>
      <c r="D88" s="92"/>
      <c r="E88" s="93"/>
      <c r="F88" s="93"/>
      <c r="G88" s="93"/>
      <c r="H88" s="43" t="str">
        <f ca="1">IF(Datos!$G88&gt;0,Datos!$G88-Datos!$E88+1 &amp; " " &amp; Idiomas!$A$29,"")</f>
        <v/>
      </c>
      <c r="I88" s="43" t="str" cm="1">
        <f t="array" aca="1" ref="I88" ca="1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>
      <c r="A89" s="94"/>
      <c r="B89" s="95"/>
      <c r="C89" s="95"/>
      <c r="D89" s="95"/>
      <c r="E89" s="96"/>
      <c r="F89" s="96"/>
      <c r="G89" s="96"/>
      <c r="H89" s="45" t="str">
        <f ca="1">IF(Datos!$G89&gt;0,Datos!$G89-Datos!$E89+1 &amp; " " &amp; Idiomas!$A$29,"")</f>
        <v/>
      </c>
      <c r="I89" s="45" t="str" cm="1">
        <f t="array" aca="1" ref="I89" ca="1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>
      <c r="A90" s="91"/>
      <c r="B90" s="92"/>
      <c r="C90" s="92"/>
      <c r="D90" s="92"/>
      <c r="E90" s="93"/>
      <c r="F90" s="93"/>
      <c r="G90" s="93"/>
      <c r="H90" s="43" t="str">
        <f ca="1">IF(Datos!$G90&gt;0,Datos!$G90-Datos!$E90+1 &amp; " " &amp; Idiomas!$A$29,"")</f>
        <v/>
      </c>
      <c r="I90" s="43" t="str" cm="1">
        <f t="array" aca="1" ref="I90" ca="1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>
      <c r="A91" s="94"/>
      <c r="B91" s="95"/>
      <c r="C91" s="95"/>
      <c r="D91" s="95"/>
      <c r="E91" s="96"/>
      <c r="F91" s="96"/>
      <c r="G91" s="96"/>
      <c r="H91" s="45" t="str">
        <f ca="1">IF(Datos!$G91&gt;0,Datos!$G91-Datos!$E91+1 &amp; " " &amp; Idiomas!$A$29,"")</f>
        <v/>
      </c>
      <c r="I91" s="45" t="str" cm="1">
        <f t="array" aca="1" ref="I91" ca="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>
      <c r="A92" s="91"/>
      <c r="B92" s="92"/>
      <c r="C92" s="92"/>
      <c r="D92" s="92"/>
      <c r="E92" s="93"/>
      <c r="F92" s="93"/>
      <c r="G92" s="93"/>
      <c r="H92" s="43" t="str">
        <f ca="1">IF(Datos!$G92&gt;0,Datos!$G92-Datos!$E92+1 &amp; " " &amp; Idiomas!$A$29,"")</f>
        <v/>
      </c>
      <c r="I92" s="43" t="str" cm="1">
        <f t="array" aca="1" ref="I92" ca="1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>
      <c r="A93" s="94"/>
      <c r="B93" s="95"/>
      <c r="C93" s="95"/>
      <c r="D93" s="95"/>
      <c r="E93" s="96"/>
      <c r="F93" s="96"/>
      <c r="G93" s="96"/>
      <c r="H93" s="45" t="str">
        <f ca="1">IF(Datos!$G93&gt;0,Datos!$G93-Datos!$E93+1 &amp; " " &amp; Idiomas!$A$29,"")</f>
        <v/>
      </c>
      <c r="I93" s="45" t="str" cm="1">
        <f t="array" aca="1" ref="I93" ca="1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>
      <c r="A94" s="91"/>
      <c r="B94" s="92"/>
      <c r="C94" s="92"/>
      <c r="D94" s="92"/>
      <c r="E94" s="93"/>
      <c r="F94" s="93"/>
      <c r="G94" s="93"/>
      <c r="H94" s="43" t="str">
        <f ca="1">IF(Datos!$G94&gt;0,Datos!$G94-Datos!$E94+1 &amp; " " &amp; Idiomas!$A$29,"")</f>
        <v/>
      </c>
      <c r="I94" s="43" t="str" cm="1">
        <f t="array" aca="1" ref="I94" ca="1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>
      <c r="A95" s="94"/>
      <c r="B95" s="95"/>
      <c r="C95" s="95"/>
      <c r="D95" s="95"/>
      <c r="E95" s="96"/>
      <c r="F95" s="96"/>
      <c r="G95" s="96"/>
      <c r="H95" s="45" t="str">
        <f ca="1">IF(Datos!$G95&gt;0,Datos!$G95-Datos!$E95+1 &amp; " " &amp; Idiomas!$A$29,"")</f>
        <v/>
      </c>
      <c r="I95" s="45" t="str" cm="1">
        <f t="array" aca="1" ref="I95" ca="1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>
      <c r="A96" s="91"/>
      <c r="B96" s="92"/>
      <c r="C96" s="92"/>
      <c r="D96" s="92"/>
      <c r="E96" s="93"/>
      <c r="F96" s="93"/>
      <c r="G96" s="93"/>
      <c r="H96" s="43" t="str">
        <f ca="1">IF(Datos!$G96&gt;0,Datos!$G96-Datos!$E96+1 &amp; " " &amp; Idiomas!$A$29,"")</f>
        <v/>
      </c>
      <c r="I96" s="43" t="str" cm="1">
        <f t="array" aca="1" ref="I96" ca="1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>
      <c r="A97" s="94"/>
      <c r="B97" s="95"/>
      <c r="C97" s="95"/>
      <c r="D97" s="95"/>
      <c r="E97" s="96"/>
      <c r="F97" s="96"/>
      <c r="G97" s="96"/>
      <c r="H97" s="45" t="str">
        <f ca="1">IF(Datos!$G97&gt;0,Datos!$G97-Datos!$E97+1 &amp; " " &amp; Idiomas!$A$29,"")</f>
        <v/>
      </c>
      <c r="I97" s="45" t="str" cm="1">
        <f t="array" aca="1" ref="I97" ca="1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>
      <c r="A98" s="91"/>
      <c r="B98" s="92"/>
      <c r="C98" s="92"/>
      <c r="D98" s="92"/>
      <c r="E98" s="93"/>
      <c r="F98" s="93"/>
      <c r="G98" s="93"/>
      <c r="H98" s="43" t="str">
        <f ca="1">IF(Datos!$G98&gt;0,Datos!$G98-Datos!$E98+1 &amp; " " &amp; Idiomas!$A$29,"")</f>
        <v/>
      </c>
      <c r="I98" s="43" t="str" cm="1">
        <f t="array" aca="1" ref="I98" ca="1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>
      <c r="A99" s="94"/>
      <c r="B99" s="95"/>
      <c r="C99" s="95"/>
      <c r="D99" s="95"/>
      <c r="E99" s="96"/>
      <c r="F99" s="96"/>
      <c r="G99" s="96"/>
      <c r="H99" s="45" t="str">
        <f ca="1">IF(Datos!$G99&gt;0,Datos!$G99-Datos!$E99+1 &amp; " " &amp; Idiomas!$A$29,"")</f>
        <v/>
      </c>
      <c r="I99" s="45" t="str" cm="1">
        <f t="array" aca="1" ref="I99" ca="1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>
      <c r="A100" s="91"/>
      <c r="B100" s="92"/>
      <c r="C100" s="92"/>
      <c r="D100" s="92"/>
      <c r="E100" s="93"/>
      <c r="F100" s="93"/>
      <c r="G100" s="93"/>
      <c r="H100" s="43" t="str">
        <f ca="1">IF(Datos!$G100&gt;0,Datos!$G100-Datos!$E100+1 &amp; " " &amp; Idiomas!$A$29,"")</f>
        <v/>
      </c>
      <c r="I100" s="43" t="str" cm="1">
        <f t="array" aca="1" ref="I100" ca="1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>
      <c r="A101" s="97"/>
      <c r="B101" s="98"/>
      <c r="C101" s="98"/>
      <c r="D101" s="98"/>
      <c r="E101" s="99"/>
      <c r="F101" s="99"/>
      <c r="G101" s="99"/>
      <c r="H101" s="47" t="str">
        <f ca="1">IF(Datos!$G101&gt;0,Datos!$G101-Datos!$E101+1 &amp; " " &amp; Idiomas!$A$29,"")</f>
        <v/>
      </c>
      <c r="I101" s="47" t="str" cm="1">
        <f t="array" aca="1" ref="I101" ca="1">IF(OR(Datos!$G101="",Datos!$A101=""),"",IF(AND(Datos!$G101=0,Datos!$F101&gt;0,Fecha_Hoy&gt;Datos!$F101),Fecha_Hoy-Datos!$F101,IF(Datos!$F101&lt;Datos!$G101,Datos!$G101-Datos!$F101,0))&amp; " " &amp; Idiomas!$A$29)</f>
        <v/>
      </c>
      <c r="J101" s="98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14" priority="2" stopIfTrue="1">
      <formula>AND($A5&lt;&gt;"",$E5="")</formula>
    </cfRule>
  </conditionalFormatting>
  <conditionalFormatting sqref="I2:I101">
    <cfRule type="expression" dxfId="13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39:F101 G2:G101 E39:E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J39:J101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4" sqref="F14"/>
    </sheetView>
  </sheetViews>
  <sheetFormatPr defaultColWidth="0" defaultRowHeight="14.45" zeroHeight="1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/>
    <row r="2" spans="2:9" ht="15" customHeight="1">
      <c r="B2" s="121" t="str">
        <f ca="1">"                " &amp; Idiomas!$A$2 &amp; " v3 ©️            "</f>
        <v xml:space="preserve">                Tablero KANBAN v3 ©️            </v>
      </c>
      <c r="C2" s="121"/>
      <c r="E2" s="7" t="s">
        <v>61</v>
      </c>
      <c r="F2" s="128" t="str">
        <f ca="1">Idiomas!$A$2 &amp; " | #ExcelPedroWave"</f>
        <v>Tablero KANBAN | #ExcelPedroWave</v>
      </c>
      <c r="G2" s="128"/>
      <c r="H2" s="128"/>
    </row>
    <row r="3" spans="2:9" ht="15" customHeight="1">
      <c r="E3" s="8" t="s">
        <v>62</v>
      </c>
      <c r="F3" s="128" t="s">
        <v>63</v>
      </c>
      <c r="G3" s="128"/>
      <c r="H3" s="128"/>
    </row>
    <row r="4" spans="2:9">
      <c r="B4" s="89" t="str">
        <f ca="1">Idiomas!$A$3</f>
        <v>Idioma</v>
      </c>
      <c r="E4" s="8" t="s">
        <v>64</v>
      </c>
      <c r="F4" s="129" t="s">
        <v>65</v>
      </c>
      <c r="G4" s="129"/>
      <c r="H4" s="129"/>
    </row>
    <row r="5" spans="2:9" ht="15" customHeight="1">
      <c r="B5" s="90" t="s">
        <v>66</v>
      </c>
      <c r="C5" s="37"/>
      <c r="D5" s="39"/>
      <c r="E5" s="39"/>
      <c r="F5" s="39"/>
    </row>
    <row r="6" spans="2:9" ht="15" customHeight="1">
      <c r="B6" s="82" t="str">
        <f ca="1"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>
      <c r="C7" s="38"/>
      <c r="D7" s="39"/>
      <c r="E7" s="39"/>
      <c r="F7" s="39"/>
    </row>
    <row r="8" spans="2:9" ht="15" thickBot="1">
      <c r="B8" s="35" t="str">
        <f ca="1">Idiomas!$A$7</f>
        <v>Estados</v>
      </c>
      <c r="D8" s="34" t="str">
        <f ca="1">Idiomas!$A$8</f>
        <v>Criticidad</v>
      </c>
      <c r="F8" s="33" t="str">
        <f ca="1">Idiomas!$A$9</f>
        <v>Miembros del equipo</v>
      </c>
      <c r="H8" s="65" t="str">
        <f ca="1">Idiomas!$A$30</f>
        <v>Orden en tarjetas</v>
      </c>
      <c r="I8" s="81" t="s">
        <v>67</v>
      </c>
    </row>
    <row r="9" spans="2:9">
      <c r="B9" s="75" t="s">
        <v>26</v>
      </c>
      <c r="D9" s="72" t="s">
        <v>3</v>
      </c>
      <c r="F9" s="68" t="s">
        <v>8</v>
      </c>
      <c r="H9" s="66" t="str">
        <f ca="1">Idiomas!$A$12</f>
        <v>Tarea</v>
      </c>
      <c r="I9" s="85">
        <v>1</v>
      </c>
    </row>
    <row r="10" spans="2:9">
      <c r="B10" s="76" t="s">
        <v>14</v>
      </c>
      <c r="D10" s="73" t="s">
        <v>20</v>
      </c>
      <c r="F10" s="69" t="s">
        <v>6</v>
      </c>
      <c r="H10" s="67" t="str">
        <f ca="1">Idiomas!$A$13</f>
        <v>Descripción</v>
      </c>
      <c r="I10" s="87">
        <v>2</v>
      </c>
    </row>
    <row r="11" spans="2:9" ht="15" thickBot="1">
      <c r="B11" s="77" t="s">
        <v>68</v>
      </c>
      <c r="D11" s="74" t="s">
        <v>50</v>
      </c>
      <c r="F11" s="70" t="s">
        <v>10</v>
      </c>
      <c r="H11" s="79" t="str">
        <f ca="1">Idiomas!$A$14</f>
        <v>Inicio</v>
      </c>
      <c r="I11" s="86">
        <v>3</v>
      </c>
    </row>
    <row r="12" spans="2:9">
      <c r="B12" s="76" t="s">
        <v>2</v>
      </c>
      <c r="F12" s="69"/>
      <c r="H12" s="67" t="str">
        <f ca="1">Idiomas!$A$15</f>
        <v>Previsto</v>
      </c>
      <c r="I12" s="87">
        <v>4</v>
      </c>
    </row>
    <row r="13" spans="2:9">
      <c r="B13" s="77" t="s">
        <v>69</v>
      </c>
      <c r="F13" s="70"/>
      <c r="H13" s="79" t="str">
        <f ca="1">Idiomas!$A$16</f>
        <v>Final</v>
      </c>
      <c r="I13" s="86">
        <v>5</v>
      </c>
    </row>
    <row r="14" spans="2:9">
      <c r="B14" s="76" t="s">
        <v>26</v>
      </c>
      <c r="F14" s="69"/>
      <c r="H14" s="67" t="str">
        <f ca="1">Idiomas!$A$17</f>
        <v>Duración</v>
      </c>
      <c r="I14" s="87">
        <v>6</v>
      </c>
    </row>
    <row r="15" spans="2:9">
      <c r="B15" s="77" t="s">
        <v>14</v>
      </c>
      <c r="F15" s="70"/>
      <c r="H15" s="79" t="str">
        <f ca="1">Idiomas!$A$18</f>
        <v>Retraso</v>
      </c>
      <c r="I15" s="86">
        <v>7</v>
      </c>
    </row>
    <row r="16" spans="2:9" ht="15" thickBot="1">
      <c r="B16" s="76"/>
      <c r="F16" s="69"/>
      <c r="H16" s="80" t="str">
        <f ca="1">Idiomas!$A$19</f>
        <v>Asignado</v>
      </c>
      <c r="I16" s="88">
        <v>8</v>
      </c>
    </row>
    <row r="17" spans="2:9">
      <c r="B17" s="77"/>
      <c r="F17" s="70"/>
      <c r="H17" s="82" t="str">
        <f ca="1">Idiomas!$A$4</f>
        <v>AVISO:</v>
      </c>
      <c r="I17" s="84" t="s">
        <v>70</v>
      </c>
    </row>
    <row r="18" spans="2:9" ht="15" thickBot="1">
      <c r="B18" s="78"/>
      <c r="F18" s="69"/>
      <c r="H18" s="83" t="str">
        <f ca="1">Idiomas!$A$31</f>
        <v>Cambiar números del 2 al 8</v>
      </c>
    </row>
    <row r="19" spans="2:9" ht="15" thickBot="1">
      <c r="B19" s="2" t="str">
        <f ca="1">Idiomas!$A$10</f>
        <v>Estado final</v>
      </c>
      <c r="F19" s="70"/>
      <c r="H19" s="83" t="str">
        <f ca="1">Idiomas!$A$32</f>
        <v>No duplicar los números</v>
      </c>
    </row>
    <row r="20" spans="2:9" ht="15" thickBot="1">
      <c r="B20" s="64" t="s">
        <v>68</v>
      </c>
      <c r="F20" s="69"/>
    </row>
    <row r="21" spans="2:9">
      <c r="F21" s="70"/>
    </row>
    <row r="22" spans="2:9" ht="15" thickBot="1">
      <c r="B22" s="2" t="str">
        <f ca="1">Idiomas!$A$11</f>
        <v>Nombre archivo en Excel para la Web</v>
      </c>
      <c r="F22" s="69"/>
    </row>
    <row r="23" spans="2:9" ht="15" thickBot="1">
      <c r="B23" s="125" t="s">
        <v>71</v>
      </c>
      <c r="C23" s="126"/>
      <c r="D23" s="127"/>
      <c r="F23" s="71"/>
    </row>
    <row r="24" spans="2:9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4.45" zeroHeight="1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5.6" thickTop="1" thickBot="1">
      <c r="A1" s="49" t="str">
        <f ca="1">Idiomas!$A$12</f>
        <v>Tarea</v>
      </c>
      <c r="B1" s="50" t="str">
        <f ca="1">"#"&amp;Idiomas!$A$7</f>
        <v>#Estados</v>
      </c>
      <c r="C1" s="50" t="str">
        <f ca="1">"#"&amp;Idiomas!$A$8</f>
        <v>#Criticidad</v>
      </c>
      <c r="D1" s="50" t="str">
        <f ca="1">Idiomas!$A$20</f>
        <v>Filtro</v>
      </c>
      <c r="E1" s="50" t="s">
        <v>72</v>
      </c>
      <c r="F1" s="50" t="s">
        <v>73</v>
      </c>
      <c r="G1" s="50" t="s">
        <v>74</v>
      </c>
      <c r="H1" s="50" t="s">
        <v>75</v>
      </c>
      <c r="I1" s="50" t="s">
        <v>76</v>
      </c>
      <c r="J1" s="50" t="s">
        <v>77</v>
      </c>
      <c r="K1" s="50" t="s">
        <v>78</v>
      </c>
      <c r="L1" s="50" t="s">
        <v>79</v>
      </c>
      <c r="M1" s="50" t="s">
        <v>80</v>
      </c>
      <c r="N1" s="50" t="s">
        <v>81</v>
      </c>
      <c r="O1" s="50" t="str">
        <f ca="1">Idiomas!$A$21</f>
        <v>Celda</v>
      </c>
      <c r="P1" s="51" t="s">
        <v>82</v>
      </c>
    </row>
    <row r="2" spans="1:16" ht="15.6" thickTop="1" thickBot="1">
      <c r="A2" s="52" t="str">
        <f ca="1"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R-51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R-51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R51:R58</v>
      </c>
    </row>
    <row r="3" spans="1:16" ht="15.6" thickTop="1" thickBot="1">
      <c r="A3" s="56" t="str">
        <f ca="1"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R-42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R-42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R42:R49</v>
      </c>
    </row>
    <row r="4" spans="1:16" ht="15.6" thickTop="1" thickBot="1">
      <c r="A4" s="52" t="str">
        <f ca="1"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R-33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R-33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R33:R40</v>
      </c>
    </row>
    <row r="5" spans="1:16" ht="15.6" thickTop="1" thickBot="1">
      <c r="A5" s="56" t="str">
        <f ca="1"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R-24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R-24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R24:R31</v>
      </c>
    </row>
    <row r="6" spans="1:16" ht="15.6" thickTop="1" thickBot="1">
      <c r="A6" s="52" t="str">
        <f ca="1"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R-15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R-15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R15:R22</v>
      </c>
    </row>
    <row r="7" spans="1:16" ht="15.6" thickTop="1" thickBot="1">
      <c r="A7" s="56" t="str">
        <f ca="1"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R-6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R-6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R6:R13</v>
      </c>
    </row>
    <row r="8" spans="1:16" ht="15.6" thickTop="1" thickBot="1">
      <c r="A8" s="52" t="str">
        <f ca="1">IFERROR(IF(Datos!$A8="","",Idiomas!$A$12&amp;" "&amp;ROW()-1),"")</f>
        <v>Tarea 7</v>
      </c>
      <c r="B8" s="53">
        <f>IFERROR(MATCH(Datos!$A8,Configura!$B$9:$B$18,0),0)</f>
        <v>2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>H-78</v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H-78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H78:H85</v>
      </c>
    </row>
    <row r="9" spans="1:16" ht="15.6" thickTop="1" thickBot="1">
      <c r="A9" s="56" t="str">
        <f ca="1">IFERROR(IF(Datos!$A9="","",Idiomas!$A$12&amp;" "&amp;ROW()-1),"")</f>
        <v>Tarea 8</v>
      </c>
      <c r="B9" s="57">
        <f>IFERROR(MATCH(Datos!$A9,Configura!$B$9:$B$18,0),0)</f>
        <v>2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>H-69</v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H-69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H69:H76</v>
      </c>
    </row>
    <row r="10" spans="1:16" ht="15.6" thickTop="1" thickBot="1">
      <c r="A10" s="52" t="str">
        <f ca="1">IFERROR(IF(Datos!$A10="","",Idiomas!$A$12&amp;" "&amp;ROW()-1),"")</f>
        <v>Tarea 9</v>
      </c>
      <c r="B10" s="53">
        <f>IFERROR(MATCH(Datos!$A10,Configura!$B$9:$B$18,0),0)</f>
        <v>2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>H-60</v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H-60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H60:H67</v>
      </c>
    </row>
    <row r="11" spans="1:16" ht="15.6" thickTop="1" thickBot="1">
      <c r="A11" s="56" t="str">
        <f ca="1">IFERROR(IF(Datos!$A11="","",Idiomas!$A$12&amp;" "&amp;ROW()-1),"")</f>
        <v>Tarea 10</v>
      </c>
      <c r="B11" s="57">
        <f>IFERROR(MATCH(Datos!$A11,Configura!$B$9:$B$18,0),0)</f>
        <v>2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>H-51</v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H-51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H51:H58</v>
      </c>
    </row>
    <row r="12" spans="1:16" ht="15.6" thickTop="1" thickBot="1">
      <c r="A12" s="52" t="str">
        <f ca="1">IFERROR(IF(Datos!$A12="","",Idiomas!$A$12&amp;" "&amp;ROW()-1),"")</f>
        <v>Tarea 11</v>
      </c>
      <c r="B12" s="53">
        <f>IFERROR(MATCH(Datos!$A12,Configura!$B$9:$B$18,0),0)</f>
        <v>2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>H-42</v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H-42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H42:H49</v>
      </c>
    </row>
    <row r="13" spans="1:16" ht="15.6" thickTop="1" thickBot="1">
      <c r="A13" s="56" t="str">
        <f ca="1">IFERROR(IF(Datos!$A13="","",Idiomas!$A$12&amp;" "&amp;ROW()-1),"")</f>
        <v>Tarea 12</v>
      </c>
      <c r="B13" s="57">
        <f>IFERROR(MATCH(Datos!$A13,Configura!$B$9:$B$18,0),0)</f>
        <v>2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>H-33</v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H-33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H33:H40</v>
      </c>
    </row>
    <row r="14" spans="1:16" ht="15.6" thickTop="1" thickBot="1">
      <c r="A14" s="52" t="str">
        <f ca="1">IFERROR(IF(Datos!$A14="","",Idiomas!$A$12&amp;" "&amp;ROW()-1),"")</f>
        <v>Tarea 13</v>
      </c>
      <c r="B14" s="53">
        <f>IFERROR(MATCH(Datos!$A14,Configura!$B$9:$B$18,0),0)</f>
        <v>2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>H-24</v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H-24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H24:H31</v>
      </c>
    </row>
    <row r="15" spans="1:16" ht="15.6" thickTop="1" thickBot="1">
      <c r="A15" s="56" t="str">
        <f ca="1">IFERROR(IF(Datos!$A15="","",Idiomas!$A$12&amp;" "&amp;ROW()-1),"")</f>
        <v>Tarea 14</v>
      </c>
      <c r="B15" s="57">
        <f>IFERROR(MATCH(Datos!$A15,Configura!$B$9:$B$18,0),0)</f>
        <v>2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>H-15</v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H-15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H15:H22</v>
      </c>
    </row>
    <row r="16" spans="1:16" ht="15.6" thickTop="1" thickBot="1">
      <c r="A16" s="52" t="str">
        <f ca="1">IFERROR(IF(Datos!$A16="","",Idiomas!$A$12&amp;" "&amp;ROW()-1),"")</f>
        <v>Tarea 15</v>
      </c>
      <c r="B16" s="53">
        <f>IFERROR(MATCH(Datos!$A16,Configura!$B$9:$B$18,0),0)</f>
        <v>1</v>
      </c>
      <c r="C16" s="53">
        <f>IFERROR(MATCH(Datos!$B16,Configura!$D$9:$D$11,0),0)</f>
        <v>1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>
      <c r="A17" s="56" t="str">
        <f ca="1">IFERROR(IF(Datos!$A17="","",Idiomas!$A$12&amp;" "&amp;ROW()-1),"")</f>
        <v>Tarea 16</v>
      </c>
      <c r="B17" s="57">
        <f>IFERROR(MATCH(Datos!$A17,Configura!$B$9:$B$18,0),0)</f>
        <v>1</v>
      </c>
      <c r="C17" s="57">
        <f>IFERROR(MATCH(Datos!$B17,Configura!$D$9:$D$11,0),0)</f>
        <v>1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>C-195</v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C-195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C195:C202</v>
      </c>
    </row>
    <row r="18" spans="1:16" ht="15.6" thickTop="1" thickBot="1">
      <c r="A18" s="52" t="str">
        <f ca="1">IFERROR(IF(Datos!$A18="","",Idiomas!$A$12&amp;" "&amp;ROW()-1),"")</f>
        <v>Tarea 17</v>
      </c>
      <c r="B18" s="53">
        <f>IFERROR(MATCH(Datos!$A18,Configura!$B$9:$B$18,0),0)</f>
        <v>1</v>
      </c>
      <c r="C18" s="53">
        <f>IFERROR(MATCH(Datos!$B18,Configura!$D$9:$D$11,0),0)</f>
        <v>1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>C-186</v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C-186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C186:C193</v>
      </c>
    </row>
    <row r="19" spans="1:16" ht="15.6" thickTop="1" thickBot="1">
      <c r="A19" s="56" t="str">
        <f ca="1">IFERROR(IF(Datos!$A19="","",Idiomas!$A$12&amp;" "&amp;ROW()-1),"")</f>
        <v>Tarea 18</v>
      </c>
      <c r="B19" s="57">
        <f>IFERROR(MATCH(Datos!$A19,Configura!$B$9:$B$18,0),0)</f>
        <v>1</v>
      </c>
      <c r="C19" s="57">
        <f>IFERROR(MATCH(Datos!$B19,Configura!$D$9:$D$11,0),0)</f>
        <v>1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>C-177</v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C-177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C177:C184</v>
      </c>
    </row>
    <row r="20" spans="1:16" ht="15.6" thickTop="1" thickBot="1">
      <c r="A20" s="52" t="str">
        <f ca="1">IFERROR(IF(Datos!$A20="","",Idiomas!$A$12&amp;" "&amp;ROW()-1),"")</f>
        <v>Tarea 19</v>
      </c>
      <c r="B20" s="53">
        <f>IFERROR(MATCH(Datos!$A20,Configura!$B$9:$B$18,0),0)</f>
        <v>1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>C-168</v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C-168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C168:C175</v>
      </c>
    </row>
    <row r="21" spans="1:16" ht="15.6" thickTop="1" thickBot="1">
      <c r="A21" s="56" t="str">
        <f ca="1">IFERROR(IF(Datos!$A21="","",Idiomas!$A$12&amp;" "&amp;ROW()-1),"")</f>
        <v>Tarea 20</v>
      </c>
      <c r="B21" s="57">
        <f>IFERROR(MATCH(Datos!$A21,Configura!$B$9:$B$18,0),0)</f>
        <v>1</v>
      </c>
      <c r="C21" s="57">
        <f>IFERROR(MATCH(Datos!$B21,Configura!$D$9:$D$11,0),0)</f>
        <v>2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>C-159</v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C-159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C159:C166</v>
      </c>
    </row>
    <row r="22" spans="1:16" ht="15.6" thickTop="1" thickBot="1">
      <c r="A22" s="52" t="str">
        <f ca="1">IFERROR(IF(Datos!$A22="","",Idiomas!$A$12&amp;" "&amp;ROW()-1),"")</f>
        <v>Tarea 21</v>
      </c>
      <c r="B22" s="53">
        <f>IFERROR(MATCH(Datos!$A22,Configura!$B$9:$B$18,0),0)</f>
        <v>1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>C-150</v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C-150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C150:C157</v>
      </c>
    </row>
    <row r="23" spans="1:16" ht="15.6" thickTop="1" thickBot="1">
      <c r="A23" s="56" t="str">
        <f ca="1">IFERROR(IF(Datos!$A23="","",Idiomas!$A$12&amp;" "&amp;ROW()-1),"")</f>
        <v>Tarea 22</v>
      </c>
      <c r="B23" s="57">
        <f>IFERROR(MATCH(Datos!$A23,Configura!$B$9:$B$18,0),0)</f>
        <v>1</v>
      </c>
      <c r="C23" s="57">
        <f>IFERROR(MATCH(Datos!$B23,Configura!$D$9:$D$11,0),0)</f>
        <v>2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>C-141</v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C-141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C141:C148</v>
      </c>
    </row>
    <row r="24" spans="1:16" ht="15.6" thickTop="1" thickBot="1">
      <c r="A24" s="52" t="str">
        <f ca="1">IFERROR(IF(Datos!$A24="","",Idiomas!$A$12&amp;" "&amp;ROW()-1),"")</f>
        <v>Tarea 23</v>
      </c>
      <c r="B24" s="53">
        <f>IFERROR(MATCH(Datos!$A24,Configura!$B$9:$B$18,0),0)</f>
        <v>1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>C-132</v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C-132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C132:C139</v>
      </c>
    </row>
    <row r="25" spans="1:16" ht="15.6" thickTop="1" thickBot="1">
      <c r="A25" s="56" t="str">
        <f ca="1">IFERROR(IF(Datos!$A25="","",Idiomas!$A$12&amp;" "&amp;ROW()-1),"")</f>
        <v>Tarea 24</v>
      </c>
      <c r="B25" s="57">
        <f>IFERROR(MATCH(Datos!$A25,Configura!$B$9:$B$18,0),0)</f>
        <v>1</v>
      </c>
      <c r="C25" s="57">
        <f>IFERROR(MATCH(Datos!$B25,Configura!$D$9:$D$11,0),0)</f>
        <v>2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>C-123</v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C-123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C123:C130</v>
      </c>
    </row>
    <row r="26" spans="1:16" ht="15.6" thickTop="1" thickBot="1">
      <c r="A26" s="52" t="str">
        <f ca="1">IFERROR(IF(Datos!$A26="","",Idiomas!$A$12&amp;" "&amp;ROW()-1),"")</f>
        <v>Tarea 25</v>
      </c>
      <c r="B26" s="53">
        <f>IFERROR(MATCH(Datos!$A26,Configura!$B$9:$B$18,0),0)</f>
        <v>1</v>
      </c>
      <c r="C26" s="53">
        <f>IFERROR(MATCH(Datos!$B26,Configura!$D$9:$D$11,0),0)</f>
        <v>2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>C-114</v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C-114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C114:C121</v>
      </c>
    </row>
    <row r="27" spans="1:16" ht="15.6" thickTop="1" thickBot="1">
      <c r="A27" s="56" t="str">
        <f ca="1">IFERROR(IF(Datos!$A27="","",Idiomas!$A$12&amp;" "&amp;ROW()-1),"")</f>
        <v>Tarea 26</v>
      </c>
      <c r="B27" s="57">
        <f>IFERROR(MATCH(Datos!$A27,Configura!$B$9:$B$18,0),0)</f>
        <v>1</v>
      </c>
      <c r="C27" s="57">
        <f>IFERROR(MATCH(Datos!$B27,Configura!$D$9:$D$11,0),0)</f>
        <v>2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>C-105</v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C-105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C105:C112</v>
      </c>
    </row>
    <row r="28" spans="1:16" ht="15.6" thickTop="1" thickBot="1">
      <c r="A28" s="52" t="str">
        <f ca="1">IFERROR(IF(Datos!$A28="","",Idiomas!$A$12&amp;" "&amp;ROW()-1),"")</f>
        <v>Tarea 27</v>
      </c>
      <c r="B28" s="53">
        <f>IFERROR(MATCH(Datos!$A28,Configura!$B$9:$B$18,0),0)</f>
        <v>1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>C-96</v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C-96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C96:C103</v>
      </c>
    </row>
    <row r="29" spans="1:16" ht="15.6" thickTop="1" thickBot="1">
      <c r="A29" s="56" t="str">
        <f ca="1">IFERROR(IF(Datos!$A29="","",Idiomas!$A$12&amp;" "&amp;ROW()-1),"")</f>
        <v>Tarea 28</v>
      </c>
      <c r="B29" s="57">
        <f>IFERROR(MATCH(Datos!$A29,Configura!$B$9:$B$18,0),0)</f>
        <v>1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>C-87</v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>C-87</v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>C87:C94</v>
      </c>
    </row>
    <row r="30" spans="1:16" ht="15.6" thickTop="1" thickBot="1">
      <c r="A30" s="52" t="str">
        <f ca="1">IFERROR(IF(Datos!$A30="","",Idiomas!$A$12&amp;" "&amp;ROW()-1),"")</f>
        <v>Tarea 29</v>
      </c>
      <c r="B30" s="53">
        <f>IFERROR(MATCH(Datos!$A30,Configura!$B$9:$B$18,0),0)</f>
        <v>1</v>
      </c>
      <c r="C30" s="53">
        <f>IFERROR(MATCH(Datos!$B30,Configura!$D$9:$D$11,0),0)</f>
        <v>2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>C-78</v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>C-78</v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>C78:C85</v>
      </c>
    </row>
    <row r="31" spans="1:16" ht="15.6" thickTop="1" thickBot="1">
      <c r="A31" s="56" t="str">
        <f ca="1">IFERROR(IF(Datos!$A31="","",Idiomas!$A$12&amp;" "&amp;ROW()-1),"")</f>
        <v>Tarea 30</v>
      </c>
      <c r="B31" s="57">
        <f>IFERROR(MATCH(Datos!$A31,Configura!$B$9:$B$18,0),0)</f>
        <v>1</v>
      </c>
      <c r="C31" s="57">
        <f>IFERROR(MATCH(Datos!$B31,Configura!$D$9:$D$11,0),0)</f>
        <v>2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>C-69</v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>C-69</v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>C69:C76</v>
      </c>
    </row>
    <row r="32" spans="1:16" ht="15.6" thickTop="1" thickBot="1">
      <c r="A32" s="52" t="str">
        <f ca="1">IFERROR(IF(Datos!$A32="","",Idiomas!$A$12&amp;" "&amp;ROW()-1),"")</f>
        <v>Tarea 31</v>
      </c>
      <c r="B32" s="53">
        <f>IFERROR(MATCH(Datos!$A32,Configura!$B$9:$B$18,0),0)</f>
        <v>1</v>
      </c>
      <c r="C32" s="53">
        <f>IFERROR(MATCH(Datos!$B32,Configura!$D$9:$D$11,0),0)</f>
        <v>2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>C-60</v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>C-60</v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>C60:C67</v>
      </c>
    </row>
    <row r="33" spans="1:16" ht="15.6" thickTop="1" thickBot="1">
      <c r="A33" s="56" t="str">
        <f ca="1">IFERROR(IF(Datos!$A33="","",Idiomas!$A$12&amp;" "&amp;ROW()-1),"")</f>
        <v>Tarea 32</v>
      </c>
      <c r="B33" s="57">
        <f>IFERROR(MATCH(Datos!$A33,Configura!$B$9:$B$18,0),0)</f>
        <v>1</v>
      </c>
      <c r="C33" s="57">
        <f>IFERROR(MATCH(Datos!$B33,Configura!$D$9:$D$11,0),0)</f>
        <v>2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>C-51</v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>C-51</v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>C51:C58</v>
      </c>
    </row>
    <row r="34" spans="1:16" ht="15.6" thickTop="1" thickBot="1">
      <c r="A34" s="52" t="str">
        <f ca="1">IFERROR(IF(Datos!$A34="","",Idiomas!$A$12&amp;" "&amp;ROW()-1),"")</f>
        <v>Tarea 33</v>
      </c>
      <c r="B34" s="53">
        <f>IFERROR(MATCH(Datos!$A34,Configura!$B$9:$B$18,0),0)</f>
        <v>1</v>
      </c>
      <c r="C34" s="53">
        <f>IFERROR(MATCH(Datos!$B34,Configura!$D$9:$D$11,0),0)</f>
        <v>2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>C-42</v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>C-42</v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>C42:C49</v>
      </c>
    </row>
    <row r="35" spans="1:16" ht="15.6" thickTop="1" thickBot="1">
      <c r="A35" s="56" t="str">
        <f ca="1">IFERROR(IF(Datos!$A35="","",Idiomas!$A$12&amp;" "&amp;ROW()-1),"")</f>
        <v>Tarea 34</v>
      </c>
      <c r="B35" s="57">
        <f>IFERROR(MATCH(Datos!$A35,Configura!$B$9:$B$18,0),0)</f>
        <v>1</v>
      </c>
      <c r="C35" s="57">
        <f>IFERROR(MATCH(Datos!$B35,Configura!$D$9:$D$11,0),0)</f>
        <v>3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>C-33</v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>C-33</v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>C33:C40</v>
      </c>
    </row>
    <row r="36" spans="1:16" ht="15.6" thickTop="1" thickBot="1">
      <c r="A36" s="52" t="str">
        <f ca="1">IFERROR(IF(Datos!$A36="","",Idiomas!$A$12&amp;" "&amp;ROW()-1),"")</f>
        <v>Tarea 35</v>
      </c>
      <c r="B36" s="53">
        <f>IFERROR(MATCH(Datos!$A36,Configura!$B$9:$B$18,0),0)</f>
        <v>1</v>
      </c>
      <c r="C36" s="53">
        <f>IFERROR(MATCH(Datos!$B36,Configura!$D$9:$D$11,0),0)</f>
        <v>3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>C-24</v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>C-24</v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>C24:C31</v>
      </c>
    </row>
    <row r="37" spans="1:16" ht="15.6" thickTop="1" thickBot="1">
      <c r="A37" s="56" t="str">
        <f ca="1">IFERROR(IF(Datos!$A37="","",Idiomas!$A$12&amp;" "&amp;ROW()-1),"")</f>
        <v>Tarea 36</v>
      </c>
      <c r="B37" s="57">
        <f>IFERROR(MATCH(Datos!$A37,Configura!$B$9:$B$18,0),0)</f>
        <v>1</v>
      </c>
      <c r="C37" s="57">
        <f>IFERROR(MATCH(Datos!$B37,Configura!$D$9:$D$11,0),0)</f>
        <v>3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>C-15</v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>C-15</v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>C15:C22</v>
      </c>
    </row>
    <row r="38" spans="1:16" ht="15.6" thickTop="1" thickBot="1">
      <c r="A38" s="52" t="str">
        <f ca="1">IFERROR(IF(Datos!$A38="","",Idiomas!$A$12&amp;" "&amp;ROW()-1),"")</f>
        <v>Tarea 37</v>
      </c>
      <c r="B38" s="53">
        <f>IFERROR(MATCH(Datos!$A38,Configura!$B$9:$B$18,0),0)</f>
        <v>1</v>
      </c>
      <c r="C38" s="53">
        <f>IFERROR(MATCH(Datos!$B38,Configura!$D$9:$D$11,0),0)</f>
        <v>3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OR(miTexto="",IFERROR(SEARCH(miTexto,Datos!$C38),0)&gt;0,IFERROR(SEARCH(miTexto,Datos!#REF!),0)&gt;0),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>C-6</v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>C-6</v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>C6:C13</v>
      </c>
    </row>
    <row r="39" spans="1:16" ht="15.6" thickTop="1" thickBot="1">
      <c r="A39" s="56" t="str">
        <f ca="1"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>
      <c r="A40" s="52" t="str">
        <f ca="1"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>
      <c r="A41" s="56" t="str">
        <f ca="1"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>
      <c r="A42" s="52" t="str">
        <f ca="1"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>
      <c r="A43" s="56" t="str">
        <f ca="1"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>
      <c r="A44" s="52" t="str">
        <f ca="1"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>
      <c r="A45" s="56" t="str">
        <f ca="1"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aca="1" ref="D45" ca="1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>
      <c r="A46" s="52" t="str">
        <f ca="1"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aca="1" ref="D46" ca="1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>
      <c r="A47" s="56" t="str">
        <f ca="1"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aca="1" ref="D47" ca="1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>
      <c r="A48" s="52" t="str">
        <f ca="1"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aca="1" ref="D48" ca="1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>
      <c r="A49" s="56" t="str">
        <f ca="1"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aca="1" ref="D49" ca="1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>
      <c r="A50" s="52" t="str">
        <f ca="1"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aca="1" ref="D50" ca="1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>
      <c r="A51" s="56" t="str">
        <f ca="1"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aca="1" ref="D51" ca="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>
      <c r="A52" s="52" t="str">
        <f ca="1"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aca="1" ref="D52" ca="1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>
      <c r="A53" s="56" t="str">
        <f ca="1"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aca="1" ref="D53" ca="1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>
      <c r="A54" s="52" t="str">
        <f ca="1"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aca="1" ref="D54" ca="1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>
      <c r="A55" s="56" t="str">
        <f ca="1"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aca="1" ref="D55" ca="1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>
      <c r="A56" s="52" t="str">
        <f ca="1"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aca="1" ref="D56" ca="1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>
      <c r="A57" s="56" t="str">
        <f ca="1"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aca="1" ref="D57" ca="1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>
      <c r="A58" s="52" t="str">
        <f ca="1"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aca="1" ref="D58" ca="1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>
      <c r="A59" s="56" t="str">
        <f ca="1"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aca="1" ref="D59" ca="1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>
      <c r="A60" s="52" t="str">
        <f ca="1"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aca="1" ref="D60" ca="1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>
      <c r="A61" s="56" t="str">
        <f ca="1"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aca="1" ref="D61" ca="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>
      <c r="A62" s="52" t="str">
        <f ca="1"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aca="1" ref="D62" ca="1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>
      <c r="A63" s="56" t="str">
        <f ca="1"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aca="1" ref="D63" ca="1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>
      <c r="A64" s="52" t="str">
        <f ca="1"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aca="1" ref="D64" ca="1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>
      <c r="A65" s="56" t="str">
        <f ca="1"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aca="1" ref="D65" ca="1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>
      <c r="A66" s="52" t="str">
        <f ca="1"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aca="1" ref="D66" ca="1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>
      <c r="A67" s="56" t="str">
        <f ca="1"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aca="1" ref="D67" ca="1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>
      <c r="A68" s="52" t="str">
        <f ca="1"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aca="1" ref="D68" ca="1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>
      <c r="A69" s="56" t="str">
        <f ca="1"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aca="1" ref="D69" ca="1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>
      <c r="A70" s="52" t="str">
        <f ca="1"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aca="1" ref="D70" ca="1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>
      <c r="A71" s="56" t="str">
        <f ca="1"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aca="1" ref="D71" ca="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>
      <c r="A72" s="52" t="str">
        <f ca="1"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aca="1" ref="D72" ca="1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>
      <c r="A73" s="56" t="str">
        <f ca="1"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aca="1" ref="D73" ca="1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>
      <c r="A74" s="52" t="str">
        <f ca="1"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aca="1" ref="D74" ca="1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>
      <c r="A75" s="56" t="str">
        <f ca="1"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aca="1" ref="D75" ca="1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>
      <c r="A76" s="52" t="str">
        <f ca="1"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aca="1" ref="D76" ca="1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>
      <c r="A77" s="56" t="str">
        <f ca="1"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aca="1" ref="D77" ca="1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>
      <c r="A78" s="52" t="str">
        <f ca="1"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aca="1" ref="D78" ca="1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>
      <c r="A79" s="56" t="str">
        <f ca="1"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aca="1" ref="D79" ca="1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>
      <c r="A80" s="52" t="str">
        <f ca="1"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aca="1" ref="D80" ca="1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>
      <c r="A81" s="56" t="str">
        <f ca="1"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aca="1" ref="D81" ca="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>
      <c r="A82" s="52" t="str">
        <f ca="1"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aca="1" ref="D82" ca="1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>
      <c r="A83" s="56" t="str">
        <f ca="1"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aca="1" ref="D83" ca="1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>
      <c r="A84" s="52" t="str">
        <f ca="1"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aca="1" ref="D84" ca="1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>
      <c r="A85" s="56" t="str">
        <f ca="1">IFERROR(IF(Datos!$A85="","",Idiomas!$A$12&amp;" "&amp;ROW()-1),"")</f>
        <v>Tarea 84</v>
      </c>
      <c r="B85" s="57">
        <f>IFERROR(MATCH(Datos!$A85,Configura!$B$9:$B$18,0),0)</f>
        <v>2</v>
      </c>
      <c r="C85" s="57">
        <f>IFERROR(MATCH(Datos!$B85,Configura!$D$9:$D$11,0),0)</f>
        <v>0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>H-6</v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H-6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H6:H13</v>
      </c>
    </row>
    <row r="86" spans="1:16" ht="15.6" thickTop="1" thickBot="1">
      <c r="A86" s="52" t="str">
        <f ca="1"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aca="1" ref="D86" ca="1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>
      <c r="A87" s="56" t="str">
        <f ca="1"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aca="1" ref="D87" ca="1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>
      <c r="A88" s="52" t="str">
        <f ca="1"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aca="1" ref="D88" ca="1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>
      <c r="A89" s="56" t="str">
        <f ca="1"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aca="1" ref="D89" ca="1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>
      <c r="A90" s="52" t="str">
        <f ca="1"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aca="1" ref="D90" ca="1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>
      <c r="A91" s="56" t="str">
        <f ca="1"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aca="1" ref="D91" ca="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>
      <c r="A92" s="52" t="str">
        <f ca="1"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aca="1" ref="D92" ca="1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>
      <c r="A93" s="56" t="str">
        <f ca="1"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aca="1" ref="D93" ca="1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>
      <c r="A94" s="52" t="str">
        <f ca="1"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aca="1" ref="D94" ca="1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>
      <c r="A95" s="56" t="str">
        <f ca="1"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aca="1" ref="D95" ca="1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>
      <c r="A96" s="52" t="str">
        <f ca="1"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aca="1" ref="D96" ca="1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>
      <c r="A97" s="56" t="str">
        <f ca="1"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aca="1" ref="D97" ca="1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>
      <c r="A98" s="52" t="str">
        <f ca="1"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aca="1" ref="D98" ca="1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>
      <c r="A99" s="56" t="str">
        <f ca="1"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aca="1" ref="D99" ca="1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>
      <c r="A100" s="52" t="str">
        <f ca="1"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aca="1" ref="D100" ca="1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>
      <c r="A101" s="60" t="str">
        <f ca="1"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aca="1" ref="D101" ca="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4.45" zeroHeight="1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37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3-1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84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0-1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6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1-1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>
      <c r="B4" s="19" t="str">
        <f ca="1"/>
        <v/>
      </c>
      <c r="C4" s="20">
        <f t="shared" ref="C4:C9" ca="1" si="10">C3--(E3=0)</f>
        <v>1</v>
      </c>
      <c r="D4" s="20">
        <f t="shared" ca="1" si="0"/>
        <v>37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3-2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84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0-2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6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1-2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>
      <c r="B5" s="19" t="str">
        <f ca="1"/>
        <v/>
      </c>
      <c r="C5" s="20">
        <f t="shared" ca="1" si="10"/>
        <v>1</v>
      </c>
      <c r="D5" s="20">
        <f t="shared" ca="1" si="0"/>
        <v>37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3-3</v>
      </c>
      <c r="G5" s="19" t="str">
        <f ca="1"/>
        <v/>
      </c>
      <c r="H5" s="20">
        <f t="shared" ca="1" si="11"/>
        <v>1</v>
      </c>
      <c r="I5" s="20">
        <f t="shared" ca="1" si="1"/>
        <v>84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0-3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6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1-3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>
      <c r="B6" s="19" t="str">
        <f ca="1"/>
        <v/>
      </c>
      <c r="C6" s="20">
        <f t="shared" ca="1" si="10"/>
        <v>1</v>
      </c>
      <c r="D6" s="20">
        <f t="shared" ca="1" si="0"/>
        <v>37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3-4</v>
      </c>
      <c r="G6" s="19" t="str">
        <f ca="1"/>
        <v/>
      </c>
      <c r="H6" s="20">
        <f t="shared" ca="1" si="11"/>
        <v>1</v>
      </c>
      <c r="I6" s="20">
        <f t="shared" ca="1" si="1"/>
        <v>84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0-4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6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1-4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>
      <c r="B7" s="19" t="str">
        <f ca="1"/>
        <v/>
      </c>
      <c r="C7" s="20">
        <f t="shared" ca="1" si="10"/>
        <v>1</v>
      </c>
      <c r="D7" s="20">
        <f t="shared" ca="1" si="0"/>
        <v>37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3-5</v>
      </c>
      <c r="G7" s="19" t="str">
        <f ca="1"/>
        <v/>
      </c>
      <c r="H7" s="20">
        <f t="shared" ca="1" si="11"/>
        <v>1</v>
      </c>
      <c r="I7" s="20">
        <f t="shared" ca="1" si="1"/>
        <v>84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0-5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6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1-5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>
      <c r="B8" s="19" t="str">
        <f ca="1"/>
        <v/>
      </c>
      <c r="C8" s="20">
        <f t="shared" ca="1" si="10"/>
        <v>1</v>
      </c>
      <c r="D8" s="20">
        <f t="shared" ca="1" si="0"/>
        <v>37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3-6</v>
      </c>
      <c r="G8" s="19">
        <f ca="1"/>
        <v>7</v>
      </c>
      <c r="H8" s="20">
        <f t="shared" ca="1" si="11"/>
        <v>1</v>
      </c>
      <c r="I8" s="20">
        <f t="shared" ca="1" si="1"/>
        <v>84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0-6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 t="str">
        <f ca="1"/>
        <v/>
      </c>
      <c r="R8" s="20">
        <f t="shared" ca="1" si="13"/>
        <v>1</v>
      </c>
      <c r="S8" s="20">
        <f t="shared" ca="1" si="3"/>
        <v>6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1-6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>
      <c r="B9" s="19" t="str">
        <f ca="1"/>
        <v/>
      </c>
      <c r="C9" s="20">
        <f t="shared" ca="1" si="10"/>
        <v>1</v>
      </c>
      <c r="D9" s="20">
        <f t="shared" ca="1" si="0"/>
        <v>37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3-7</v>
      </c>
      <c r="G9" s="19">
        <f ca="1"/>
        <v>8</v>
      </c>
      <c r="H9" s="20">
        <f t="shared" ca="1" si="11"/>
        <v>1</v>
      </c>
      <c r="I9" s="20">
        <f t="shared" ca="1" si="1"/>
        <v>84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0-7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 t="str">
        <f ca="1"/>
        <v/>
      </c>
      <c r="R9" s="20">
        <f t="shared" ca="1" si="13"/>
        <v>1</v>
      </c>
      <c r="S9" s="20">
        <f t="shared" ca="1" si="3"/>
        <v>6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1-7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>
      <c r="B10" s="19" t="str">
        <f ca="1"/>
        <v/>
      </c>
      <c r="C10" s="20">
        <f ca="1">C9--(E9=0)</f>
        <v>1</v>
      </c>
      <c r="D10" s="20">
        <f t="shared" ca="1" si="0"/>
        <v>37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3-8</v>
      </c>
      <c r="G10" s="19">
        <f ca="1"/>
        <v>9</v>
      </c>
      <c r="H10" s="20">
        <f t="shared" ca="1" si="11"/>
        <v>1</v>
      </c>
      <c r="I10" s="20">
        <f t="shared" ca="1" si="1"/>
        <v>84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0-8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 t="str">
        <f ca="1"/>
        <v/>
      </c>
      <c r="R10" s="20">
        <f t="shared" ca="1" si="13"/>
        <v>1</v>
      </c>
      <c r="S10" s="20">
        <f t="shared" ca="1" si="3"/>
        <v>6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1-8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>
      <c r="B11" s="19" t="str">
        <f ca="1"/>
        <v/>
      </c>
      <c r="C11" s="20">
        <f t="shared" ref="C11:C74" ca="1" si="20">C10--(E10=0)</f>
        <v>1</v>
      </c>
      <c r="D11" s="20">
        <f t="shared" ca="1" si="0"/>
        <v>37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>
        <f ca="1"/>
        <v>10</v>
      </c>
      <c r="H11" s="20">
        <f t="shared" ca="1" si="11"/>
        <v>1</v>
      </c>
      <c r="I11" s="20">
        <f t="shared" ca="1" si="1"/>
        <v>84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>
        <f t="shared" ca="1" si="3"/>
        <v>6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>
      <c r="B12" s="19" t="str">
        <f ca="1"/>
        <v/>
      </c>
      <c r="C12" s="20">
        <f t="shared" ca="1" si="20"/>
        <v>2</v>
      </c>
      <c r="D12" s="20">
        <f t="shared" ca="1" si="0"/>
        <v>36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3-1</v>
      </c>
      <c r="G12" s="19">
        <f ca="1"/>
        <v>11</v>
      </c>
      <c r="H12" s="20">
        <f t="shared" ca="1" si="11"/>
        <v>2</v>
      </c>
      <c r="I12" s="20">
        <f t="shared" ca="1" si="1"/>
        <v>14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2-1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 t="str">
        <f ca="1"/>
        <v/>
      </c>
      <c r="R12" s="20">
        <f t="shared" ca="1" si="13"/>
        <v>2</v>
      </c>
      <c r="S12" s="20">
        <f t="shared" ca="1" si="3"/>
        <v>5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>
      <c r="B13" s="19" t="str">
        <f ca="1"/>
        <v/>
      </c>
      <c r="C13" s="20">
        <f t="shared" ca="1" si="20"/>
        <v>2</v>
      </c>
      <c r="D13" s="20">
        <f t="shared" ca="1" si="0"/>
        <v>36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3-2</v>
      </c>
      <c r="G13" s="19">
        <f ca="1"/>
        <v>12</v>
      </c>
      <c r="H13" s="20">
        <f t="shared" ca="1" si="11"/>
        <v>2</v>
      </c>
      <c r="I13" s="20">
        <f t="shared" ca="1" si="1"/>
        <v>14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2-2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5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>
      <c r="B14" s="19" t="str">
        <f ca="1"/>
        <v/>
      </c>
      <c r="C14" s="20">
        <f t="shared" ca="1" si="20"/>
        <v>2</v>
      </c>
      <c r="D14" s="20">
        <f t="shared" ca="1" si="0"/>
        <v>36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3-3</v>
      </c>
      <c r="G14" s="19">
        <f ca="1"/>
        <v>13</v>
      </c>
      <c r="H14" s="20">
        <f t="shared" ca="1" si="11"/>
        <v>2</v>
      </c>
      <c r="I14" s="20">
        <f t="shared" ca="1" si="1"/>
        <v>14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2-3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5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>
      <c r="B15" s="19" t="str">
        <f ca="1"/>
        <v/>
      </c>
      <c r="C15" s="20">
        <f t="shared" ca="1" si="20"/>
        <v>2</v>
      </c>
      <c r="D15" s="20">
        <f t="shared" ca="1" si="0"/>
        <v>36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3-4</v>
      </c>
      <c r="G15" s="19">
        <f ca="1"/>
        <v>14</v>
      </c>
      <c r="H15" s="20">
        <f t="shared" ca="1" si="11"/>
        <v>2</v>
      </c>
      <c r="I15" s="20">
        <f t="shared" ca="1" si="1"/>
        <v>14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2-4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5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>
      <c r="B16" s="19">
        <f ca="1"/>
        <v>15</v>
      </c>
      <c r="C16" s="20">
        <f t="shared" ca="1" si="20"/>
        <v>2</v>
      </c>
      <c r="D16" s="20">
        <f t="shared" ca="1" si="0"/>
        <v>36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3-5</v>
      </c>
      <c r="G16" s="19" t="str">
        <f ca="1"/>
        <v/>
      </c>
      <c r="H16" s="20">
        <f t="shared" ca="1" si="11"/>
        <v>2</v>
      </c>
      <c r="I16" s="20">
        <f t="shared" ca="1" si="1"/>
        <v>14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2-5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5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>
      <c r="B17" s="19">
        <f ca="1"/>
        <v>16</v>
      </c>
      <c r="C17" s="20">
        <f t="shared" ca="1" si="20"/>
        <v>2</v>
      </c>
      <c r="D17" s="20">
        <f t="shared" ca="1" si="0"/>
        <v>36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3-6</v>
      </c>
      <c r="G17" s="19" t="str">
        <f ca="1"/>
        <v/>
      </c>
      <c r="H17" s="20">
        <f t="shared" ca="1" si="11"/>
        <v>2</v>
      </c>
      <c r="I17" s="20">
        <f t="shared" ca="1" si="1"/>
        <v>14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2-6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5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>
      <c r="B18" s="19">
        <f ca="1"/>
        <v>17</v>
      </c>
      <c r="C18" s="20">
        <f t="shared" ca="1" si="20"/>
        <v>2</v>
      </c>
      <c r="D18" s="20">
        <f t="shared" ca="1" si="0"/>
        <v>36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3-7</v>
      </c>
      <c r="G18" s="19" t="str">
        <f ca="1"/>
        <v/>
      </c>
      <c r="H18" s="20">
        <f t="shared" ca="1" si="11"/>
        <v>2</v>
      </c>
      <c r="I18" s="20">
        <f t="shared" ca="1" si="1"/>
        <v>14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2-7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5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>
      <c r="B19" s="19">
        <f ca="1"/>
        <v>18</v>
      </c>
      <c r="C19" s="20">
        <f t="shared" ca="1" si="20"/>
        <v>2</v>
      </c>
      <c r="D19" s="20">
        <f t="shared" ca="1" si="0"/>
        <v>36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3-8</v>
      </c>
      <c r="G19" s="19" t="str">
        <f ca="1"/>
        <v/>
      </c>
      <c r="H19" s="20">
        <f t="shared" ca="1" si="11"/>
        <v>2</v>
      </c>
      <c r="I19" s="20">
        <f t="shared" ca="1" si="1"/>
        <v>14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2-8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5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>
      <c r="B20" s="19">
        <f ca="1"/>
        <v>19</v>
      </c>
      <c r="C20" s="20">
        <f t="shared" ca="1" si="20"/>
        <v>2</v>
      </c>
      <c r="D20" s="20">
        <f t="shared" ca="1" si="0"/>
        <v>36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14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5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>
      <c r="B21" s="19">
        <f ca="1"/>
        <v>20</v>
      </c>
      <c r="C21" s="20">
        <f t="shared" ca="1" si="20"/>
        <v>3</v>
      </c>
      <c r="D21" s="20">
        <f t="shared" ca="1" si="0"/>
        <v>35</v>
      </c>
      <c r="E21" s="20" cm="1">
        <f t="array" aca="1" ref="E21" ca="1">IF(D21="","",IF(D21&lt;&gt;D20,1,IF(E20=misLíneas-2,0,E20+1)))</f>
        <v>1</v>
      </c>
      <c r="F21" s="20" t="str" cm="1">
        <f t="array" aca="1" ref="F21" ca="1">IF(OR(E21=0,E21=""),"",INDEX(misCriticidades,D21)&amp;"-"&amp;IFERROR(MATCH(E21,miOrdenTarjeta,0),0))</f>
        <v>3-1</v>
      </c>
      <c r="G21" s="19" t="str">
        <f ca="1"/>
        <v/>
      </c>
      <c r="H21" s="20">
        <f t="shared" ca="1" si="11"/>
        <v>3</v>
      </c>
      <c r="I21" s="20">
        <f t="shared" ca="1" si="1"/>
        <v>13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2-1</v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4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>
      <c r="B22" s="19">
        <f ca="1"/>
        <v>21</v>
      </c>
      <c r="C22" s="20">
        <f t="shared" ca="1" si="20"/>
        <v>3</v>
      </c>
      <c r="D22" s="20">
        <f t="shared" ca="1" si="0"/>
        <v>35</v>
      </c>
      <c r="E22" s="20" cm="1">
        <f t="array" aca="1" ref="E22" ca="1">IF(D22="","",IF(D22&lt;&gt;D21,1,IF(E21=misLíneas-2,0,E21+1)))</f>
        <v>2</v>
      </c>
      <c r="F22" s="20" t="str" cm="1">
        <f t="array" aca="1" ref="F22" ca="1">IF(OR(E22=0,E22=""),"",INDEX(misCriticidades,D22)&amp;"-"&amp;IFERROR(MATCH(E22,miOrdenTarjeta,0),0))</f>
        <v>3-2</v>
      </c>
      <c r="G22" s="19" t="str">
        <f ca="1"/>
        <v/>
      </c>
      <c r="H22" s="20">
        <f t="shared" ca="1" si="11"/>
        <v>3</v>
      </c>
      <c r="I22" s="20">
        <f t="shared" ca="1" si="1"/>
        <v>13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2-2</v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4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>
      <c r="B23" s="19">
        <f ca="1"/>
        <v>22</v>
      </c>
      <c r="C23" s="20">
        <f t="shared" ca="1" si="20"/>
        <v>3</v>
      </c>
      <c r="D23" s="20">
        <f t="shared" ca="1" si="0"/>
        <v>35</v>
      </c>
      <c r="E23" s="20" cm="1">
        <f t="array" aca="1" ref="E23" ca="1">IF(D23="","",IF(D23&lt;&gt;D22,1,IF(E22=misLíneas-2,0,E22+1)))</f>
        <v>3</v>
      </c>
      <c r="F23" s="20" t="str" cm="1">
        <f t="array" aca="1" ref="F23" ca="1">IF(OR(E23=0,E23=""),"",INDEX(misCriticidades,D23)&amp;"-"&amp;IFERROR(MATCH(E23,miOrdenTarjeta,0),0))</f>
        <v>3-3</v>
      </c>
      <c r="G23" s="19" t="str">
        <f ca="1"/>
        <v/>
      </c>
      <c r="H23" s="20">
        <f t="shared" ca="1" si="11"/>
        <v>3</v>
      </c>
      <c r="I23" s="20">
        <f t="shared" ca="1" si="1"/>
        <v>13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2-3</v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4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>
      <c r="B24" s="19">
        <f ca="1"/>
        <v>23</v>
      </c>
      <c r="C24" s="20">
        <f t="shared" ca="1" si="20"/>
        <v>3</v>
      </c>
      <c r="D24" s="20">
        <f t="shared" ca="1" si="0"/>
        <v>35</v>
      </c>
      <c r="E24" s="20" cm="1">
        <f t="array" aca="1" ref="E24" ca="1">IF(D24="","",IF(D24&lt;&gt;D23,1,IF(E23=misLíneas-2,0,E23+1)))</f>
        <v>4</v>
      </c>
      <c r="F24" s="20" t="str" cm="1">
        <f t="array" aca="1" ref="F24" ca="1">IF(OR(E24=0,E24=""),"",INDEX(misCriticidades,D24)&amp;"-"&amp;IFERROR(MATCH(E24,miOrdenTarjeta,0),0))</f>
        <v>3-4</v>
      </c>
      <c r="G24" s="19" t="str">
        <f ca="1"/>
        <v/>
      </c>
      <c r="H24" s="20">
        <f t="shared" ca="1" si="11"/>
        <v>3</v>
      </c>
      <c r="I24" s="20">
        <f t="shared" ca="1" si="1"/>
        <v>13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2-4</v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4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>
      <c r="B25" s="19">
        <f ca="1"/>
        <v>24</v>
      </c>
      <c r="C25" s="20">
        <f t="shared" ca="1" si="20"/>
        <v>3</v>
      </c>
      <c r="D25" s="20">
        <f t="shared" ca="1" si="0"/>
        <v>35</v>
      </c>
      <c r="E25" s="20" cm="1">
        <f t="array" aca="1" ref="E25" ca="1">IF(D25="","",IF(D25&lt;&gt;D24,1,IF(E24=misLíneas-2,0,E24+1)))</f>
        <v>5</v>
      </c>
      <c r="F25" s="20" t="str" cm="1">
        <f t="array" aca="1" ref="F25" ca="1">IF(OR(E25=0,E25=""),"",INDEX(misCriticidades,D25)&amp;"-"&amp;IFERROR(MATCH(E25,miOrdenTarjeta,0),0))</f>
        <v>3-5</v>
      </c>
      <c r="G25" s="19" t="str">
        <f ca="1"/>
        <v/>
      </c>
      <c r="H25" s="20">
        <f t="shared" ca="1" si="11"/>
        <v>3</v>
      </c>
      <c r="I25" s="20">
        <f t="shared" ca="1" si="1"/>
        <v>13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2-5</v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4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>
      <c r="B26" s="19">
        <f ca="1"/>
        <v>25</v>
      </c>
      <c r="C26" s="20">
        <f t="shared" ca="1" si="20"/>
        <v>3</v>
      </c>
      <c r="D26" s="20">
        <f t="shared" ca="1" si="0"/>
        <v>35</v>
      </c>
      <c r="E26" s="20" cm="1">
        <f t="array" aca="1" ref="E26" ca="1">IF(D26="","",IF(D26&lt;&gt;D25,1,IF(E25=misLíneas-2,0,E25+1)))</f>
        <v>6</v>
      </c>
      <c r="F26" s="20" t="str" cm="1">
        <f t="array" aca="1" ref="F26" ca="1">IF(OR(E26=0,E26=""),"",INDEX(misCriticidades,D26)&amp;"-"&amp;IFERROR(MATCH(E26,miOrdenTarjeta,0),0))</f>
        <v>3-6</v>
      </c>
      <c r="G26" s="19" t="str">
        <f ca="1"/>
        <v/>
      </c>
      <c r="H26" s="20">
        <f t="shared" ca="1" si="11"/>
        <v>3</v>
      </c>
      <c r="I26" s="20">
        <f t="shared" ca="1" si="1"/>
        <v>13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2-6</v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4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>
      <c r="B27" s="19">
        <f ca="1"/>
        <v>26</v>
      </c>
      <c r="C27" s="20">
        <f t="shared" ca="1" si="20"/>
        <v>3</v>
      </c>
      <c r="D27" s="20">
        <f t="shared" ca="1" si="0"/>
        <v>35</v>
      </c>
      <c r="E27" s="20" cm="1">
        <f t="array" aca="1" ref="E27" ca="1">IF(D27="","",IF(D27&lt;&gt;D26,1,IF(E26=misLíneas-2,0,E26+1)))</f>
        <v>7</v>
      </c>
      <c r="F27" s="20" t="str" cm="1">
        <f t="array" aca="1" ref="F27" ca="1">IF(OR(E27=0,E27=""),"",INDEX(misCriticidades,D27)&amp;"-"&amp;IFERROR(MATCH(E27,miOrdenTarjeta,0),0))</f>
        <v>3-7</v>
      </c>
      <c r="G27" s="19" t="str">
        <f ca="1"/>
        <v/>
      </c>
      <c r="H27" s="20">
        <f t="shared" ca="1" si="11"/>
        <v>3</v>
      </c>
      <c r="I27" s="20">
        <f t="shared" ca="1" si="1"/>
        <v>13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2-7</v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4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>
      <c r="B28" s="19">
        <f ca="1"/>
        <v>27</v>
      </c>
      <c r="C28" s="20">
        <f t="shared" ca="1" si="20"/>
        <v>3</v>
      </c>
      <c r="D28" s="20">
        <f t="shared" ca="1" si="0"/>
        <v>35</v>
      </c>
      <c r="E28" s="20" cm="1">
        <f t="array" aca="1" ref="E28" ca="1">IF(D28="","",IF(D28&lt;&gt;D27,1,IF(E27=misLíneas-2,0,E27+1)))</f>
        <v>8</v>
      </c>
      <c r="F28" s="20" t="str" cm="1">
        <f t="array" aca="1" ref="F28" ca="1">IF(OR(E28=0,E28=""),"",INDEX(misCriticidades,D28)&amp;"-"&amp;IFERROR(MATCH(E28,miOrdenTarjeta,0),0))</f>
        <v>3-8</v>
      </c>
      <c r="G28" s="19" t="str">
        <f ca="1"/>
        <v/>
      </c>
      <c r="H28" s="20">
        <f t="shared" ca="1" si="11"/>
        <v>3</v>
      </c>
      <c r="I28" s="20">
        <f t="shared" ca="1" si="1"/>
        <v>13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2-8</v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4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>
      <c r="B29" s="19">
        <f ca="1"/>
        <v>28</v>
      </c>
      <c r="C29" s="20">
        <f t="shared" ca="1" si="20"/>
        <v>3</v>
      </c>
      <c r="D29" s="20">
        <f t="shared" ca="1" si="0"/>
        <v>35</v>
      </c>
      <c r="E29" s="20" cm="1">
        <f t="array" aca="1" ref="E29" ca="1">IF(D29="","",IF(D29&lt;&gt;D28,1,IF(E28=misLíneas-2,0,E28+1)))</f>
        <v>0</v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13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4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>
      <c r="B30" s="19">
        <f ca="1"/>
        <v>29</v>
      </c>
      <c r="C30" s="20">
        <f t="shared" ca="1" si="20"/>
        <v>4</v>
      </c>
      <c r="D30" s="20">
        <f t="shared" ca="1" si="0"/>
        <v>34</v>
      </c>
      <c r="E30" s="20" cm="1">
        <f t="array" aca="1" ref="E30" ca="1">IF(D30="","",IF(D30&lt;&gt;D29,1,IF(E29=misLíneas-2,0,E29+1)))</f>
        <v>1</v>
      </c>
      <c r="F30" s="20" t="str" cm="1">
        <f t="array" aca="1" ref="F30" ca="1">IF(OR(E30=0,E30=""),"",INDEX(misCriticidades,D30)&amp;"-"&amp;IFERROR(MATCH(E30,miOrdenTarjeta,0),0))</f>
        <v>3-1</v>
      </c>
      <c r="G30" s="19" t="str">
        <f ca="1"/>
        <v/>
      </c>
      <c r="H30" s="20">
        <f t="shared" ca="1" si="11"/>
        <v>4</v>
      </c>
      <c r="I30" s="20">
        <f t="shared" ca="1" si="1"/>
        <v>12</v>
      </c>
      <c r="J30" s="20" cm="1">
        <f t="array" aca="1" ref="J30" ca="1">IF(I30="","",IF(I30&lt;&gt;I29,1,IF(J29=misLíneas-2,0,J29+1)))</f>
        <v>1</v>
      </c>
      <c r="K30" s="20" t="str" cm="1">
        <f t="array" aca="1" ref="K30" ca="1">IF(OR(J30=0,J30=""),"",INDEX(misCriticidades,I30)&amp;"-"&amp;IFERROR(MATCH(J30,miOrdenTarjeta,0),0))</f>
        <v>2-1</v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3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>
      <c r="B31" s="19">
        <f ca="1"/>
        <v>30</v>
      </c>
      <c r="C31" s="20">
        <f t="shared" ca="1" si="20"/>
        <v>4</v>
      </c>
      <c r="D31" s="20">
        <f t="shared" ca="1" si="0"/>
        <v>34</v>
      </c>
      <c r="E31" s="20" cm="1">
        <f t="array" aca="1" ref="E31" ca="1">IF(D31="","",IF(D31&lt;&gt;D30,1,IF(E30=misLíneas-2,0,E30+1)))</f>
        <v>2</v>
      </c>
      <c r="F31" s="20" t="str" cm="1">
        <f t="array" aca="1" ref="F31" ca="1">IF(OR(E31=0,E31=""),"",INDEX(misCriticidades,D31)&amp;"-"&amp;IFERROR(MATCH(E31,miOrdenTarjeta,0),0))</f>
        <v>3-2</v>
      </c>
      <c r="G31" s="19" t="str">
        <f ca="1"/>
        <v/>
      </c>
      <c r="H31" s="20">
        <f t="shared" ca="1" si="11"/>
        <v>4</v>
      </c>
      <c r="I31" s="20">
        <f t="shared" ca="1" si="1"/>
        <v>12</v>
      </c>
      <c r="J31" s="20" cm="1">
        <f t="array" aca="1" ref="J31" ca="1">IF(I31="","",IF(I31&lt;&gt;I30,1,IF(J30=misLíneas-2,0,J30+1)))</f>
        <v>2</v>
      </c>
      <c r="K31" s="20" t="str" cm="1">
        <f t="array" aca="1" ref="K31" ca="1">IF(OR(J31=0,J31=""),"",INDEX(misCriticidades,I31)&amp;"-"&amp;IFERROR(MATCH(J31,miOrdenTarjeta,0),0))</f>
        <v>2-2</v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3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>
      <c r="B32" s="19">
        <f ca="1"/>
        <v>31</v>
      </c>
      <c r="C32" s="20">
        <f t="shared" ca="1" si="20"/>
        <v>4</v>
      </c>
      <c r="D32" s="20">
        <f t="shared" ca="1" si="0"/>
        <v>34</v>
      </c>
      <c r="E32" s="20" cm="1">
        <f t="array" aca="1" ref="E32" ca="1">IF(D32="","",IF(D32&lt;&gt;D31,1,IF(E31=misLíneas-2,0,E31+1)))</f>
        <v>3</v>
      </c>
      <c r="F32" s="20" t="str" cm="1">
        <f t="array" aca="1" ref="F32" ca="1">IF(OR(E32=0,E32=""),"",INDEX(misCriticidades,D32)&amp;"-"&amp;IFERROR(MATCH(E32,miOrdenTarjeta,0),0))</f>
        <v>3-3</v>
      </c>
      <c r="G32" s="19" t="str">
        <f ca="1"/>
        <v/>
      </c>
      <c r="H32" s="20">
        <f t="shared" ca="1" si="11"/>
        <v>4</v>
      </c>
      <c r="I32" s="20">
        <f t="shared" ca="1" si="1"/>
        <v>12</v>
      </c>
      <c r="J32" s="20" cm="1">
        <f t="array" aca="1" ref="J32" ca="1">IF(I32="","",IF(I32&lt;&gt;I31,1,IF(J31=misLíneas-2,0,J31+1)))</f>
        <v>3</v>
      </c>
      <c r="K32" s="20" t="str" cm="1">
        <f t="array" aca="1" ref="K32" ca="1">IF(OR(J32=0,J32=""),"",INDEX(misCriticidades,I32)&amp;"-"&amp;IFERROR(MATCH(J32,miOrdenTarjeta,0),0))</f>
        <v>2-3</v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3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>
      <c r="B33" s="19">
        <f ca="1"/>
        <v>32</v>
      </c>
      <c r="C33" s="20">
        <f t="shared" ca="1" si="20"/>
        <v>4</v>
      </c>
      <c r="D33" s="20">
        <f t="shared" ca="1" si="0"/>
        <v>34</v>
      </c>
      <c r="E33" s="20" cm="1">
        <f t="array" aca="1" ref="E33" ca="1">IF(D33="","",IF(D33&lt;&gt;D32,1,IF(E32=misLíneas-2,0,E32+1)))</f>
        <v>4</v>
      </c>
      <c r="F33" s="20" t="str" cm="1">
        <f t="array" aca="1" ref="F33" ca="1">IF(OR(E33=0,E33=""),"",INDEX(misCriticidades,D33)&amp;"-"&amp;IFERROR(MATCH(E33,miOrdenTarjeta,0),0))</f>
        <v>3-4</v>
      </c>
      <c r="G33" s="19" t="str">
        <f ca="1"/>
        <v/>
      </c>
      <c r="H33" s="20">
        <f t="shared" ca="1" si="11"/>
        <v>4</v>
      </c>
      <c r="I33" s="20">
        <f t="shared" ca="1" si="1"/>
        <v>12</v>
      </c>
      <c r="J33" s="20" cm="1">
        <f t="array" aca="1" ref="J33" ca="1">IF(I33="","",IF(I33&lt;&gt;I32,1,IF(J32=misLíneas-2,0,J32+1)))</f>
        <v>4</v>
      </c>
      <c r="K33" s="20" t="str" cm="1">
        <f t="array" aca="1" ref="K33" ca="1">IF(OR(J33=0,J33=""),"",INDEX(misCriticidades,I33)&amp;"-"&amp;IFERROR(MATCH(J33,miOrdenTarjeta,0),0))</f>
        <v>2-4</v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3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>
      <c r="B34" s="19">
        <f ca="1"/>
        <v>33</v>
      </c>
      <c r="C34" s="20">
        <f t="shared" ca="1" si="20"/>
        <v>4</v>
      </c>
      <c r="D34" s="20">
        <f t="shared" ca="1" si="0"/>
        <v>34</v>
      </c>
      <c r="E34" s="20" cm="1">
        <f t="array" aca="1" ref="E34" ca="1">IF(D34="","",IF(D34&lt;&gt;D33,1,IF(E33=misLíneas-2,0,E33+1)))</f>
        <v>5</v>
      </c>
      <c r="F34" s="20" t="str" cm="1">
        <f t="array" aca="1" ref="F34" ca="1">IF(OR(E34=0,E34=""),"",INDEX(misCriticidades,D34)&amp;"-"&amp;IFERROR(MATCH(E34,miOrdenTarjeta,0),0))</f>
        <v>3-5</v>
      </c>
      <c r="G34" s="19" t="str">
        <f ca="1"/>
        <v/>
      </c>
      <c r="H34" s="20">
        <f t="shared" ca="1" si="11"/>
        <v>4</v>
      </c>
      <c r="I34" s="20">
        <f t="shared" ca="1" si="1"/>
        <v>12</v>
      </c>
      <c r="J34" s="20" cm="1">
        <f t="array" aca="1" ref="J34" ca="1">IF(I34="","",IF(I34&lt;&gt;I33,1,IF(J33=misLíneas-2,0,J33+1)))</f>
        <v>5</v>
      </c>
      <c r="K34" s="20" t="str" cm="1">
        <f t="array" aca="1" ref="K34" ca="1">IF(OR(J34=0,J34=""),"",INDEX(misCriticidades,I34)&amp;"-"&amp;IFERROR(MATCH(J34,miOrdenTarjeta,0),0))</f>
        <v>2-5</v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3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>
      <c r="B35" s="19">
        <f ca="1"/>
        <v>34</v>
      </c>
      <c r="C35" s="20">
        <f t="shared" ca="1" si="20"/>
        <v>4</v>
      </c>
      <c r="D35" s="20">
        <f t="shared" ref="D35:D66" ca="1" si="21">IF(C35&gt;C34,IFERROR(IF(F$1="v",SMALL(B$2:B$101,C35),LARGE(B$2:B$101,C35)),""),D34)</f>
        <v>34</v>
      </c>
      <c r="E35" s="20" cm="1">
        <f t="array" aca="1" ref="E35" ca="1">IF(D35="","",IF(D35&lt;&gt;D34,1,IF(E34=misLíneas-2,0,E34+1)))</f>
        <v>6</v>
      </c>
      <c r="F35" s="20" t="str" cm="1">
        <f t="array" aca="1" ref="F35" ca="1">IF(OR(E35=0,E35=""),"",INDEX(misCriticidades,D35)&amp;"-"&amp;IFERROR(MATCH(E35,miOrdenTarjeta,0),0))</f>
        <v>3-6</v>
      </c>
      <c r="G35" s="19" t="str">
        <f ca="1"/>
        <v/>
      </c>
      <c r="H35" s="20">
        <f t="shared" ca="1" si="11"/>
        <v>4</v>
      </c>
      <c r="I35" s="20">
        <f t="shared" ref="I35:I66" ca="1" si="22">IF(H35&gt;H34,IFERROR(IF(K$1="v",SMALL(G$2:G$101,H35),LARGE(G$2:G$101,H35)),""),I34)</f>
        <v>12</v>
      </c>
      <c r="J35" s="20" cm="1">
        <f t="array" aca="1" ref="J35" ca="1">IF(I35="","",IF(I35&lt;&gt;I34,1,IF(J34=misLíneas-2,0,J34+1)))</f>
        <v>6</v>
      </c>
      <c r="K35" s="20" t="str" cm="1">
        <f t="array" aca="1" ref="K35" ca="1">IF(OR(J35=0,J35=""),"",INDEX(misCriticidades,I35)&amp;"-"&amp;IFERROR(MATCH(J35,miOrdenTarjeta,0),0))</f>
        <v>2-6</v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3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>
      <c r="B36" s="19">
        <f ca="1"/>
        <v>35</v>
      </c>
      <c r="C36" s="20">
        <f t="shared" ca="1" si="20"/>
        <v>4</v>
      </c>
      <c r="D36" s="20">
        <f t="shared" ca="1" si="21"/>
        <v>34</v>
      </c>
      <c r="E36" s="20" cm="1">
        <f t="array" aca="1" ref="E36" ca="1">IF(D36="","",IF(D36&lt;&gt;D35,1,IF(E35=misLíneas-2,0,E35+1)))</f>
        <v>7</v>
      </c>
      <c r="F36" s="20" t="str" cm="1">
        <f t="array" aca="1" ref="F36" ca="1">IF(OR(E36=0,E36=""),"",INDEX(misCriticidades,D36)&amp;"-"&amp;IFERROR(MATCH(E36,miOrdenTarjeta,0),0))</f>
        <v>3-7</v>
      </c>
      <c r="G36" s="19" t="str">
        <f ca="1"/>
        <v/>
      </c>
      <c r="H36" s="20">
        <f t="shared" ca="1" si="11"/>
        <v>4</v>
      </c>
      <c r="I36" s="20">
        <f t="shared" ca="1" si="22"/>
        <v>12</v>
      </c>
      <c r="J36" s="20" cm="1">
        <f t="array" aca="1" ref="J36" ca="1">IF(I36="","",IF(I36&lt;&gt;I35,1,IF(J35=misLíneas-2,0,J35+1)))</f>
        <v>7</v>
      </c>
      <c r="K36" s="20" t="str" cm="1">
        <f t="array" aca="1" ref="K36" ca="1">IF(OR(J36=0,J36=""),"",INDEX(misCriticidades,I36)&amp;"-"&amp;IFERROR(MATCH(J36,miOrdenTarjeta,0),0))</f>
        <v>2-7</v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3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>
      <c r="B37" s="19">
        <f ca="1"/>
        <v>36</v>
      </c>
      <c r="C37" s="20">
        <f t="shared" ca="1" si="20"/>
        <v>4</v>
      </c>
      <c r="D37" s="20">
        <f t="shared" ca="1" si="21"/>
        <v>34</v>
      </c>
      <c r="E37" s="20" cm="1">
        <f t="array" aca="1" ref="E37" ca="1">IF(D37="","",IF(D37&lt;&gt;D36,1,IF(E36=misLíneas-2,0,E36+1)))</f>
        <v>8</v>
      </c>
      <c r="F37" s="20" t="str" cm="1">
        <f t="array" aca="1" ref="F37" ca="1">IF(OR(E37=0,E37=""),"",INDEX(misCriticidades,D37)&amp;"-"&amp;IFERROR(MATCH(E37,miOrdenTarjeta,0),0))</f>
        <v>3-8</v>
      </c>
      <c r="G37" s="19" t="str">
        <f ca="1"/>
        <v/>
      </c>
      <c r="H37" s="20">
        <f t="shared" ca="1" si="11"/>
        <v>4</v>
      </c>
      <c r="I37" s="20">
        <f t="shared" ca="1" si="22"/>
        <v>12</v>
      </c>
      <c r="J37" s="20" cm="1">
        <f t="array" aca="1" ref="J37" ca="1">IF(I37="","",IF(I37&lt;&gt;I36,1,IF(J36=misLíneas-2,0,J36+1)))</f>
        <v>8</v>
      </c>
      <c r="K37" s="20" t="str" cm="1">
        <f t="array" aca="1" ref="K37" ca="1">IF(OR(J37=0,J37=""),"",INDEX(misCriticidades,I37)&amp;"-"&amp;IFERROR(MATCH(J37,miOrdenTarjeta,0),0))</f>
        <v>2-8</v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3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>
      <c r="B38" s="19">
        <f ca="1"/>
        <v>37</v>
      </c>
      <c r="C38" s="20">
        <f t="shared" ca="1" si="20"/>
        <v>4</v>
      </c>
      <c r="D38" s="20">
        <f t="shared" ca="1" si="21"/>
        <v>34</v>
      </c>
      <c r="E38" s="20" cm="1">
        <f t="array" aca="1" ref="E38" ca="1">IF(D38="","",IF(D38&lt;&gt;D37,1,IF(E37=misLíneas-2,0,E37+1)))</f>
        <v>0</v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4</v>
      </c>
      <c r="I38" s="20">
        <f t="shared" ca="1" si="22"/>
        <v>12</v>
      </c>
      <c r="J38" s="20" cm="1">
        <f t="array" aca="1" ref="J38" ca="1">IF(I38="","",IF(I38&lt;&gt;I37,1,IF(J37=misLíneas-2,0,J37+1)))</f>
        <v>0</v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3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>
      <c r="B39" s="19" t="str">
        <f ca="1"/>
        <v/>
      </c>
      <c r="C39" s="20">
        <f t="shared" ca="1" si="20"/>
        <v>5</v>
      </c>
      <c r="D39" s="20">
        <f t="shared" ca="1" si="21"/>
        <v>33</v>
      </c>
      <c r="E39" s="20" cm="1">
        <f t="array" aca="1" ref="E39" ca="1">IF(D39="","",IF(D39&lt;&gt;D38,1,IF(E38=misLíneas-2,0,E38+1)))</f>
        <v>1</v>
      </c>
      <c r="F39" s="20" t="str" cm="1">
        <f t="array" aca="1" ref="F39" ca="1">IF(OR(E39=0,E39=""),"",INDEX(misCriticidades,D39)&amp;"-"&amp;IFERROR(MATCH(E39,miOrdenTarjeta,0),0))</f>
        <v>2-1</v>
      </c>
      <c r="G39" s="19" t="str">
        <f ca="1"/>
        <v/>
      </c>
      <c r="H39" s="20">
        <f t="shared" ca="1" si="11"/>
        <v>5</v>
      </c>
      <c r="I39" s="20">
        <f t="shared" ca="1" si="22"/>
        <v>11</v>
      </c>
      <c r="J39" s="20" cm="1">
        <f t="array" aca="1" ref="J39" ca="1">IF(I39="","",IF(I39&lt;&gt;I38,1,IF(J38=misLíneas-2,0,J38+1)))</f>
        <v>1</v>
      </c>
      <c r="K39" s="20" t="str" cm="1">
        <f t="array" aca="1" ref="K39" ca="1">IF(OR(J39=0,J39=""),"",INDEX(misCriticidades,I39)&amp;"-"&amp;IFERROR(MATCH(J39,miOrdenTarjeta,0),0))</f>
        <v>2-1</v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2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>
      <c r="B40" s="19" t="str">
        <f ca="1"/>
        <v/>
      </c>
      <c r="C40" s="20">
        <f t="shared" ca="1" si="20"/>
        <v>5</v>
      </c>
      <c r="D40" s="20">
        <f t="shared" ca="1" si="21"/>
        <v>33</v>
      </c>
      <c r="E40" s="20" cm="1">
        <f t="array" aca="1" ref="E40" ca="1">IF(D40="","",IF(D40&lt;&gt;D39,1,IF(E39=misLíneas-2,0,E39+1)))</f>
        <v>2</v>
      </c>
      <c r="F40" s="20" t="str" cm="1">
        <f t="array" aca="1" ref="F40" ca="1">IF(OR(E40=0,E40=""),"",INDEX(misCriticidades,D40)&amp;"-"&amp;IFERROR(MATCH(E40,miOrdenTarjeta,0),0))</f>
        <v>2-2</v>
      </c>
      <c r="G40" s="19" t="str">
        <f ca="1"/>
        <v/>
      </c>
      <c r="H40" s="20">
        <f t="shared" ca="1" si="11"/>
        <v>5</v>
      </c>
      <c r="I40" s="20">
        <f t="shared" ca="1" si="22"/>
        <v>11</v>
      </c>
      <c r="J40" s="20" cm="1">
        <f t="array" aca="1" ref="J40" ca="1">IF(I40="","",IF(I40&lt;&gt;I39,1,IF(J39=misLíneas-2,0,J39+1)))</f>
        <v>2</v>
      </c>
      <c r="K40" s="20" t="str" cm="1">
        <f t="array" aca="1" ref="K40" ca="1">IF(OR(J40=0,J40=""),"",INDEX(misCriticidades,I40)&amp;"-"&amp;IFERROR(MATCH(J40,miOrdenTarjeta,0),0))</f>
        <v>2-2</v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2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>
      <c r="B41" s="19" t="str">
        <f ca="1"/>
        <v/>
      </c>
      <c r="C41" s="20">
        <f t="shared" ca="1" si="20"/>
        <v>5</v>
      </c>
      <c r="D41" s="20">
        <f t="shared" ca="1" si="21"/>
        <v>33</v>
      </c>
      <c r="E41" s="20" cm="1">
        <f t="array" aca="1" ref="E41" ca="1">IF(D41="","",IF(D41&lt;&gt;D40,1,IF(E40=misLíneas-2,0,E40+1)))</f>
        <v>3</v>
      </c>
      <c r="F41" s="20" t="str" cm="1">
        <f t="array" aca="1" ref="F41" ca="1">IF(OR(E41=0,E41=""),"",INDEX(misCriticidades,D41)&amp;"-"&amp;IFERROR(MATCH(E41,miOrdenTarjeta,0),0))</f>
        <v>2-3</v>
      </c>
      <c r="G41" s="19" t="str">
        <f ca="1"/>
        <v/>
      </c>
      <c r="H41" s="20">
        <f t="shared" ca="1" si="11"/>
        <v>5</v>
      </c>
      <c r="I41" s="20">
        <f t="shared" ca="1" si="22"/>
        <v>11</v>
      </c>
      <c r="J41" s="20" cm="1">
        <f t="array" aca="1" ref="J41" ca="1">IF(I41="","",IF(I41&lt;&gt;I40,1,IF(J40=misLíneas-2,0,J40+1)))</f>
        <v>3</v>
      </c>
      <c r="K41" s="20" t="str" cm="1">
        <f t="array" aca="1" ref="K41" ca="1">IF(OR(J41=0,J41=""),"",INDEX(misCriticidades,I41)&amp;"-"&amp;IFERROR(MATCH(J41,miOrdenTarjeta,0),0))</f>
        <v>2-3</v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2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>
      <c r="B42" s="19" t="str">
        <f ca="1"/>
        <v/>
      </c>
      <c r="C42" s="20">
        <f t="shared" ca="1" si="20"/>
        <v>5</v>
      </c>
      <c r="D42" s="20">
        <f t="shared" ca="1" si="21"/>
        <v>33</v>
      </c>
      <c r="E42" s="20" cm="1">
        <f t="array" aca="1" ref="E42" ca="1">IF(D42="","",IF(D42&lt;&gt;D41,1,IF(E41=misLíneas-2,0,E41+1)))</f>
        <v>4</v>
      </c>
      <c r="F42" s="20" t="str" cm="1">
        <f t="array" aca="1" ref="F42" ca="1">IF(OR(E42=0,E42=""),"",INDEX(misCriticidades,D42)&amp;"-"&amp;IFERROR(MATCH(E42,miOrdenTarjeta,0),0))</f>
        <v>2-4</v>
      </c>
      <c r="G42" s="19" t="str">
        <f ca="1"/>
        <v/>
      </c>
      <c r="H42" s="20">
        <f t="shared" ca="1" si="11"/>
        <v>5</v>
      </c>
      <c r="I42" s="20">
        <f t="shared" ca="1" si="22"/>
        <v>11</v>
      </c>
      <c r="J42" s="20" cm="1">
        <f t="array" aca="1" ref="J42" ca="1">IF(I42="","",IF(I42&lt;&gt;I41,1,IF(J41=misLíneas-2,0,J41+1)))</f>
        <v>4</v>
      </c>
      <c r="K42" s="20" t="str" cm="1">
        <f t="array" aca="1" ref="K42" ca="1">IF(OR(J42=0,J42=""),"",INDEX(misCriticidades,I42)&amp;"-"&amp;IFERROR(MATCH(J42,miOrdenTarjeta,0),0))</f>
        <v>2-4</v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2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>
      <c r="B43" s="19" t="str">
        <f ca="1"/>
        <v/>
      </c>
      <c r="C43" s="20">
        <f t="shared" ca="1" si="20"/>
        <v>5</v>
      </c>
      <c r="D43" s="20">
        <f t="shared" ca="1" si="21"/>
        <v>33</v>
      </c>
      <c r="E43" s="20" cm="1">
        <f t="array" aca="1" ref="E43" ca="1">IF(D43="","",IF(D43&lt;&gt;D42,1,IF(E42=misLíneas-2,0,E42+1)))</f>
        <v>5</v>
      </c>
      <c r="F43" s="20" t="str" cm="1">
        <f t="array" aca="1" ref="F43" ca="1">IF(OR(E43=0,E43=""),"",INDEX(misCriticidades,D43)&amp;"-"&amp;IFERROR(MATCH(E43,miOrdenTarjeta,0),0))</f>
        <v>2-5</v>
      </c>
      <c r="G43" s="19" t="str">
        <f ca="1"/>
        <v/>
      </c>
      <c r="H43" s="20">
        <f t="shared" ca="1" si="11"/>
        <v>5</v>
      </c>
      <c r="I43" s="20">
        <f t="shared" ca="1" si="22"/>
        <v>11</v>
      </c>
      <c r="J43" s="20" cm="1">
        <f t="array" aca="1" ref="J43" ca="1">IF(I43="","",IF(I43&lt;&gt;I42,1,IF(J42=misLíneas-2,0,J42+1)))</f>
        <v>5</v>
      </c>
      <c r="K43" s="20" t="str" cm="1">
        <f t="array" aca="1" ref="K43" ca="1">IF(OR(J43=0,J43=""),"",INDEX(misCriticidades,I43)&amp;"-"&amp;IFERROR(MATCH(J43,miOrdenTarjeta,0),0))</f>
        <v>2-5</v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>
      <c r="B44" s="19" t="str">
        <f ca="1"/>
        <v/>
      </c>
      <c r="C44" s="20">
        <f t="shared" ca="1" si="20"/>
        <v>5</v>
      </c>
      <c r="D44" s="20">
        <f t="shared" ca="1" si="21"/>
        <v>33</v>
      </c>
      <c r="E44" s="20" cm="1">
        <f t="array" aca="1" ref="E44" ca="1">IF(D44="","",IF(D44&lt;&gt;D43,1,IF(E43=misLíneas-2,0,E43+1)))</f>
        <v>6</v>
      </c>
      <c r="F44" s="20" t="str" cm="1">
        <f t="array" aca="1" ref="F44" ca="1">IF(OR(E44=0,E44=""),"",INDEX(misCriticidades,D44)&amp;"-"&amp;IFERROR(MATCH(E44,miOrdenTarjeta,0),0))</f>
        <v>2-6</v>
      </c>
      <c r="G44" s="19" t="str">
        <f ca="1"/>
        <v/>
      </c>
      <c r="H44" s="20">
        <f t="shared" ca="1" si="11"/>
        <v>5</v>
      </c>
      <c r="I44" s="20">
        <f t="shared" ca="1" si="22"/>
        <v>11</v>
      </c>
      <c r="J44" s="20" cm="1">
        <f t="array" aca="1" ref="J44" ca="1">IF(I44="","",IF(I44&lt;&gt;I43,1,IF(J43=misLíneas-2,0,J43+1)))</f>
        <v>6</v>
      </c>
      <c r="K44" s="20" t="str" cm="1">
        <f t="array" aca="1" ref="K44" ca="1">IF(OR(J44=0,J44=""),"",INDEX(misCriticidades,I44)&amp;"-"&amp;IFERROR(MATCH(J44,miOrdenTarjeta,0),0))</f>
        <v>2-6</v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>
      <c r="B45" s="19" t="str">
        <f ca="1"/>
        <v/>
      </c>
      <c r="C45" s="20">
        <f t="shared" ca="1" si="20"/>
        <v>5</v>
      </c>
      <c r="D45" s="20">
        <f t="shared" ca="1" si="21"/>
        <v>33</v>
      </c>
      <c r="E45" s="20" cm="1">
        <f t="array" aca="1" ref="E45" ca="1">IF(D45="","",IF(D45&lt;&gt;D44,1,IF(E44=misLíneas-2,0,E44+1)))</f>
        <v>7</v>
      </c>
      <c r="F45" s="20" t="str" cm="1">
        <f t="array" aca="1" ref="F45" ca="1">IF(OR(E45=0,E45=""),"",INDEX(misCriticidades,D45)&amp;"-"&amp;IFERROR(MATCH(E45,miOrdenTarjeta,0),0))</f>
        <v>2-7</v>
      </c>
      <c r="G45" s="19" t="str">
        <f ca="1"/>
        <v/>
      </c>
      <c r="H45" s="20">
        <f t="shared" ca="1" si="11"/>
        <v>5</v>
      </c>
      <c r="I45" s="20">
        <f t="shared" ca="1" si="22"/>
        <v>11</v>
      </c>
      <c r="J45" s="20" cm="1">
        <f t="array" aca="1" ref="J45" ca="1">IF(I45="","",IF(I45&lt;&gt;I44,1,IF(J44=misLíneas-2,0,J44+1)))</f>
        <v>7</v>
      </c>
      <c r="K45" s="20" t="str" cm="1">
        <f t="array" aca="1" ref="K45" ca="1">IF(OR(J45=0,J45=""),"",INDEX(misCriticidades,I45)&amp;"-"&amp;IFERROR(MATCH(J45,miOrdenTarjeta,0),0))</f>
        <v>2-7</v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>
      <c r="B46" s="19" t="str">
        <f ca="1"/>
        <v/>
      </c>
      <c r="C46" s="20">
        <f t="shared" ca="1" si="20"/>
        <v>5</v>
      </c>
      <c r="D46" s="20">
        <f t="shared" ca="1" si="21"/>
        <v>33</v>
      </c>
      <c r="E46" s="20" cm="1">
        <f t="array" aca="1" ref="E46" ca="1">IF(D46="","",IF(D46&lt;&gt;D45,1,IF(E45=misLíneas-2,0,E45+1)))</f>
        <v>8</v>
      </c>
      <c r="F46" s="20" t="str" cm="1">
        <f t="array" aca="1" ref="F46" ca="1">IF(OR(E46=0,E46=""),"",INDEX(misCriticidades,D46)&amp;"-"&amp;IFERROR(MATCH(E46,miOrdenTarjeta,0),0))</f>
        <v>2-8</v>
      </c>
      <c r="G46" s="19" t="str">
        <f ca="1"/>
        <v/>
      </c>
      <c r="H46" s="20">
        <f t="shared" ca="1" si="11"/>
        <v>5</v>
      </c>
      <c r="I46" s="20">
        <f t="shared" ca="1" si="22"/>
        <v>11</v>
      </c>
      <c r="J46" s="20" cm="1">
        <f t="array" aca="1" ref="J46" ca="1">IF(I46="","",IF(I46&lt;&gt;I45,1,IF(J45=misLíneas-2,0,J45+1)))</f>
        <v>8</v>
      </c>
      <c r="K46" s="20" t="str" cm="1">
        <f t="array" aca="1" ref="K46" ca="1">IF(OR(J46=0,J46=""),"",INDEX(misCriticidades,I46)&amp;"-"&amp;IFERROR(MATCH(J46,miOrdenTarjeta,0),0))</f>
        <v>2-8</v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>
      <c r="B47" s="19" t="str">
        <f ca="1"/>
        <v/>
      </c>
      <c r="C47" s="20">
        <f t="shared" ca="1" si="20"/>
        <v>5</v>
      </c>
      <c r="D47" s="20">
        <f t="shared" ca="1" si="21"/>
        <v>33</v>
      </c>
      <c r="E47" s="20" cm="1">
        <f t="array" aca="1" ref="E47" ca="1">IF(D47="","",IF(D47&lt;&gt;D46,1,IF(E46=misLíneas-2,0,E46+1)))</f>
        <v>0</v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5</v>
      </c>
      <c r="I47" s="20">
        <f t="shared" ca="1" si="22"/>
        <v>11</v>
      </c>
      <c r="J47" s="20" cm="1">
        <f t="array" aca="1" ref="J47" ca="1">IF(I47="","",IF(I47&lt;&gt;I46,1,IF(J46=misLíneas-2,0,J46+1)))</f>
        <v>0</v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>
      <c r="B48" s="19" t="str">
        <f ca="1"/>
        <v/>
      </c>
      <c r="C48" s="20">
        <f t="shared" ca="1" si="20"/>
        <v>6</v>
      </c>
      <c r="D48" s="20">
        <f t="shared" ca="1" si="21"/>
        <v>32</v>
      </c>
      <c r="E48" s="20" cm="1">
        <f t="array" aca="1" ref="E48" ca="1">IF(D48="","",IF(D48&lt;&gt;D47,1,IF(E47=misLíneas-2,0,E47+1)))</f>
        <v>1</v>
      </c>
      <c r="F48" s="20" t="str" cm="1">
        <f t="array" aca="1" ref="F48" ca="1">IF(OR(E48=0,E48=""),"",INDEX(misCriticidades,D48)&amp;"-"&amp;IFERROR(MATCH(E48,miOrdenTarjeta,0),0))</f>
        <v>2-1</v>
      </c>
      <c r="G48" s="19" t="str">
        <f ca="1"/>
        <v/>
      </c>
      <c r="H48" s="20">
        <f t="shared" ca="1" si="11"/>
        <v>6</v>
      </c>
      <c r="I48" s="20">
        <f t="shared" ca="1" si="22"/>
        <v>10</v>
      </c>
      <c r="J48" s="20" cm="1">
        <f t="array" aca="1" ref="J48" ca="1">IF(I48="","",IF(I48&lt;&gt;I47,1,IF(J47=misLíneas-2,0,J47+1)))</f>
        <v>1</v>
      </c>
      <c r="K48" s="20" t="str" cm="1">
        <f t="array" aca="1" ref="K48" ca="1">IF(OR(J48=0,J48=""),"",INDEX(misCriticidades,I48)&amp;"-"&amp;IFERROR(MATCH(J48,miOrdenTarjeta,0),0))</f>
        <v>1-1</v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>
      <c r="B49" s="19" t="str">
        <f ca="1"/>
        <v/>
      </c>
      <c r="C49" s="20">
        <f t="shared" ca="1" si="20"/>
        <v>6</v>
      </c>
      <c r="D49" s="20">
        <f t="shared" ca="1" si="21"/>
        <v>32</v>
      </c>
      <c r="E49" s="20" cm="1">
        <f t="array" aca="1" ref="E49" ca="1">IF(D49="","",IF(D49&lt;&gt;D48,1,IF(E48=misLíneas-2,0,E48+1)))</f>
        <v>2</v>
      </c>
      <c r="F49" s="20" t="str" cm="1">
        <f t="array" aca="1" ref="F49" ca="1">IF(OR(E49=0,E49=""),"",INDEX(misCriticidades,D49)&amp;"-"&amp;IFERROR(MATCH(E49,miOrdenTarjeta,0),0))</f>
        <v>2-2</v>
      </c>
      <c r="G49" s="19" t="str">
        <f ca="1"/>
        <v/>
      </c>
      <c r="H49" s="20">
        <f t="shared" ca="1" si="11"/>
        <v>6</v>
      </c>
      <c r="I49" s="20">
        <f t="shared" ca="1" si="22"/>
        <v>10</v>
      </c>
      <c r="J49" s="20" cm="1">
        <f t="array" aca="1" ref="J49" ca="1">IF(I49="","",IF(I49&lt;&gt;I48,1,IF(J48=misLíneas-2,0,J48+1)))</f>
        <v>2</v>
      </c>
      <c r="K49" s="20" t="str" cm="1">
        <f t="array" aca="1" ref="K49" ca="1">IF(OR(J49=0,J49=""),"",INDEX(misCriticidades,I49)&amp;"-"&amp;IFERROR(MATCH(J49,miOrdenTarjeta,0),0))</f>
        <v>1-2</v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>
      <c r="B50" s="19" t="str">
        <f ca="1"/>
        <v/>
      </c>
      <c r="C50" s="20">
        <f t="shared" ca="1" si="20"/>
        <v>6</v>
      </c>
      <c r="D50" s="20">
        <f t="shared" ca="1" si="21"/>
        <v>32</v>
      </c>
      <c r="E50" s="20" cm="1">
        <f t="array" aca="1" ref="E50" ca="1">IF(D50="","",IF(D50&lt;&gt;D49,1,IF(E49=misLíneas-2,0,E49+1)))</f>
        <v>3</v>
      </c>
      <c r="F50" s="20" t="str" cm="1">
        <f t="array" aca="1" ref="F50" ca="1">IF(OR(E50=0,E50=""),"",INDEX(misCriticidades,D50)&amp;"-"&amp;IFERROR(MATCH(E50,miOrdenTarjeta,0),0))</f>
        <v>2-3</v>
      </c>
      <c r="G50" s="19" t="str">
        <f ca="1"/>
        <v/>
      </c>
      <c r="H50" s="20">
        <f t="shared" ca="1" si="11"/>
        <v>6</v>
      </c>
      <c r="I50" s="20">
        <f t="shared" ca="1" si="22"/>
        <v>10</v>
      </c>
      <c r="J50" s="20" cm="1">
        <f t="array" aca="1" ref="J50" ca="1">IF(I50="","",IF(I50&lt;&gt;I49,1,IF(J49=misLíneas-2,0,J49+1)))</f>
        <v>3</v>
      </c>
      <c r="K50" s="20" t="str" cm="1">
        <f t="array" aca="1" ref="K50" ca="1">IF(OR(J50=0,J50=""),"",INDEX(misCriticidades,I50)&amp;"-"&amp;IFERROR(MATCH(J50,miOrdenTarjeta,0),0))</f>
        <v>1-3</v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>
      <c r="B51" s="19" t="str">
        <f ca="1"/>
        <v/>
      </c>
      <c r="C51" s="20">
        <f t="shared" ca="1" si="20"/>
        <v>6</v>
      </c>
      <c r="D51" s="20">
        <f t="shared" ca="1" si="21"/>
        <v>32</v>
      </c>
      <c r="E51" s="20" cm="1">
        <f t="array" aca="1" ref="E51" ca="1">IF(D51="","",IF(D51&lt;&gt;D50,1,IF(E50=misLíneas-2,0,E50+1)))</f>
        <v>4</v>
      </c>
      <c r="F51" s="20" t="str" cm="1">
        <f t="array" aca="1" ref="F51" ca="1">IF(OR(E51=0,E51=""),"",INDEX(misCriticidades,D51)&amp;"-"&amp;IFERROR(MATCH(E51,miOrdenTarjeta,0),0))</f>
        <v>2-4</v>
      </c>
      <c r="G51" s="19" t="str">
        <f ca="1"/>
        <v/>
      </c>
      <c r="H51" s="20">
        <f t="shared" ca="1" si="11"/>
        <v>6</v>
      </c>
      <c r="I51" s="20">
        <f t="shared" ca="1" si="22"/>
        <v>10</v>
      </c>
      <c r="J51" s="20" cm="1">
        <f t="array" aca="1" ref="J51" ca="1">IF(I51="","",IF(I51&lt;&gt;I50,1,IF(J50=misLíneas-2,0,J50+1)))</f>
        <v>4</v>
      </c>
      <c r="K51" s="20" t="str" cm="1">
        <f t="array" aca="1" ref="K51" ca="1">IF(OR(J51=0,J51=""),"",INDEX(misCriticidades,I51)&amp;"-"&amp;IFERROR(MATCH(J51,miOrdenTarjeta,0),0))</f>
        <v>1-4</v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>
      <c r="B52" s="19" t="str">
        <f ca="1"/>
        <v/>
      </c>
      <c r="C52" s="20">
        <f t="shared" ca="1" si="20"/>
        <v>6</v>
      </c>
      <c r="D52" s="20">
        <f t="shared" ca="1" si="21"/>
        <v>32</v>
      </c>
      <c r="E52" s="20" cm="1">
        <f t="array" aca="1" ref="E52" ca="1">IF(D52="","",IF(D52&lt;&gt;D51,1,IF(E51=misLíneas-2,0,E51+1)))</f>
        <v>5</v>
      </c>
      <c r="F52" s="20" t="str" cm="1">
        <f t="array" aca="1" ref="F52" ca="1">IF(OR(E52=0,E52=""),"",INDEX(misCriticidades,D52)&amp;"-"&amp;IFERROR(MATCH(E52,miOrdenTarjeta,0),0))</f>
        <v>2-5</v>
      </c>
      <c r="G52" s="19" t="str">
        <f ca="1"/>
        <v/>
      </c>
      <c r="H52" s="20">
        <f t="shared" ca="1" si="11"/>
        <v>6</v>
      </c>
      <c r="I52" s="20">
        <f t="shared" ca="1" si="22"/>
        <v>10</v>
      </c>
      <c r="J52" s="20" cm="1">
        <f t="array" aca="1" ref="J52" ca="1">IF(I52="","",IF(I52&lt;&gt;I51,1,IF(J51=misLíneas-2,0,J51+1)))</f>
        <v>5</v>
      </c>
      <c r="K52" s="20" t="str" cm="1">
        <f t="array" aca="1" ref="K52" ca="1">IF(OR(J52=0,J52=""),"",INDEX(misCriticidades,I52)&amp;"-"&amp;IFERROR(MATCH(J52,miOrdenTarjeta,0),0))</f>
        <v>1-5</v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>
      <c r="B53" s="19" t="str">
        <f ca="1"/>
        <v/>
      </c>
      <c r="C53" s="20">
        <f t="shared" ca="1" si="20"/>
        <v>6</v>
      </c>
      <c r="D53" s="20">
        <f t="shared" ca="1" si="21"/>
        <v>32</v>
      </c>
      <c r="E53" s="20" cm="1">
        <f t="array" aca="1" ref="E53" ca="1">IF(D53="","",IF(D53&lt;&gt;D52,1,IF(E52=misLíneas-2,0,E52+1)))</f>
        <v>6</v>
      </c>
      <c r="F53" s="20" t="str" cm="1">
        <f t="array" aca="1" ref="F53" ca="1">IF(OR(E53=0,E53=""),"",INDEX(misCriticidades,D53)&amp;"-"&amp;IFERROR(MATCH(E53,miOrdenTarjeta,0),0))</f>
        <v>2-6</v>
      </c>
      <c r="G53" s="19" t="str">
        <f ca="1"/>
        <v/>
      </c>
      <c r="H53" s="20">
        <f t="shared" ca="1" si="11"/>
        <v>6</v>
      </c>
      <c r="I53" s="20">
        <f t="shared" ca="1" si="22"/>
        <v>10</v>
      </c>
      <c r="J53" s="20" cm="1">
        <f t="array" aca="1" ref="J53" ca="1">IF(I53="","",IF(I53&lt;&gt;I52,1,IF(J52=misLíneas-2,0,J52+1)))</f>
        <v>6</v>
      </c>
      <c r="K53" s="20" t="str" cm="1">
        <f t="array" aca="1" ref="K53" ca="1">IF(OR(J53=0,J53=""),"",INDEX(misCriticidades,I53)&amp;"-"&amp;IFERROR(MATCH(J53,miOrdenTarjeta,0),0))</f>
        <v>1-6</v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>
      <c r="B54" s="19" t="str">
        <f ca="1"/>
        <v/>
      </c>
      <c r="C54" s="20">
        <f t="shared" ca="1" si="20"/>
        <v>6</v>
      </c>
      <c r="D54" s="20">
        <f t="shared" ca="1" si="21"/>
        <v>32</v>
      </c>
      <c r="E54" s="20" cm="1">
        <f t="array" aca="1" ref="E54" ca="1">IF(D54="","",IF(D54&lt;&gt;D53,1,IF(E53=misLíneas-2,0,E53+1)))</f>
        <v>7</v>
      </c>
      <c r="F54" s="20" t="str" cm="1">
        <f t="array" aca="1" ref="F54" ca="1">IF(OR(E54=0,E54=""),"",INDEX(misCriticidades,D54)&amp;"-"&amp;IFERROR(MATCH(E54,miOrdenTarjeta,0),0))</f>
        <v>2-7</v>
      </c>
      <c r="G54" s="19" t="str">
        <f ca="1"/>
        <v/>
      </c>
      <c r="H54" s="20">
        <f t="shared" ca="1" si="11"/>
        <v>6</v>
      </c>
      <c r="I54" s="20">
        <f t="shared" ca="1" si="22"/>
        <v>10</v>
      </c>
      <c r="J54" s="20" cm="1">
        <f t="array" aca="1" ref="J54" ca="1">IF(I54="","",IF(I54&lt;&gt;I53,1,IF(J53=misLíneas-2,0,J53+1)))</f>
        <v>7</v>
      </c>
      <c r="K54" s="20" t="str" cm="1">
        <f t="array" aca="1" ref="K54" ca="1">IF(OR(J54=0,J54=""),"",INDEX(misCriticidades,I54)&amp;"-"&amp;IFERROR(MATCH(J54,miOrdenTarjeta,0),0))</f>
        <v>1-7</v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>
      <c r="B55" s="19" t="str">
        <f ca="1"/>
        <v/>
      </c>
      <c r="C55" s="20">
        <f t="shared" ca="1" si="20"/>
        <v>6</v>
      </c>
      <c r="D55" s="20">
        <f t="shared" ca="1" si="21"/>
        <v>32</v>
      </c>
      <c r="E55" s="20" cm="1">
        <f t="array" aca="1" ref="E55" ca="1">IF(D55="","",IF(D55&lt;&gt;D54,1,IF(E54=misLíneas-2,0,E54+1)))</f>
        <v>8</v>
      </c>
      <c r="F55" s="20" t="str" cm="1">
        <f t="array" aca="1" ref="F55" ca="1">IF(OR(E55=0,E55=""),"",INDEX(misCriticidades,D55)&amp;"-"&amp;IFERROR(MATCH(E55,miOrdenTarjeta,0),0))</f>
        <v>2-8</v>
      </c>
      <c r="G55" s="19" t="str">
        <f ca="1"/>
        <v/>
      </c>
      <c r="H55" s="20">
        <f t="shared" ca="1" si="11"/>
        <v>6</v>
      </c>
      <c r="I55" s="20">
        <f t="shared" ca="1" si="22"/>
        <v>10</v>
      </c>
      <c r="J55" s="20" cm="1">
        <f t="array" aca="1" ref="J55" ca="1">IF(I55="","",IF(I55&lt;&gt;I54,1,IF(J54=misLíneas-2,0,J54+1)))</f>
        <v>8</v>
      </c>
      <c r="K55" s="20" t="str" cm="1">
        <f t="array" aca="1" ref="K55" ca="1">IF(OR(J55=0,J55=""),"",INDEX(misCriticidades,I55)&amp;"-"&amp;IFERROR(MATCH(J55,miOrdenTarjeta,0),0))</f>
        <v>1-8</v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>
      <c r="B56" s="19" t="str">
        <f ca="1"/>
        <v/>
      </c>
      <c r="C56" s="20">
        <f t="shared" ca="1" si="20"/>
        <v>6</v>
      </c>
      <c r="D56" s="20">
        <f t="shared" ca="1" si="21"/>
        <v>32</v>
      </c>
      <c r="E56" s="20" cm="1">
        <f t="array" aca="1" ref="E56" ca="1">IF(D56="","",IF(D56&lt;&gt;D55,1,IF(E55=misLíneas-2,0,E55+1)))</f>
        <v>0</v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6</v>
      </c>
      <c r="I56" s="20">
        <f t="shared" ca="1" si="22"/>
        <v>10</v>
      </c>
      <c r="J56" s="20" cm="1">
        <f t="array" aca="1" ref="J56" ca="1">IF(I56="","",IF(I56&lt;&gt;I55,1,IF(J55=misLíneas-2,0,J55+1)))</f>
        <v>0</v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>
      <c r="B57" s="19" t="str">
        <f ca="1"/>
        <v/>
      </c>
      <c r="C57" s="20">
        <f t="shared" ca="1" si="20"/>
        <v>7</v>
      </c>
      <c r="D57" s="20">
        <f t="shared" ca="1" si="21"/>
        <v>31</v>
      </c>
      <c r="E57" s="20" cm="1">
        <f t="array" aca="1" ref="E57" ca="1">IF(D57="","",IF(D57&lt;&gt;D56,1,IF(E56=misLíneas-2,0,E56+1)))</f>
        <v>1</v>
      </c>
      <c r="F57" s="20" t="str" cm="1">
        <f t="array" aca="1" ref="F57" ca="1">IF(OR(E57=0,E57=""),"",INDEX(misCriticidades,D57)&amp;"-"&amp;IFERROR(MATCH(E57,miOrdenTarjeta,0),0))</f>
        <v>2-1</v>
      </c>
      <c r="G57" s="19" t="str">
        <f ca="1"/>
        <v/>
      </c>
      <c r="H57" s="20">
        <f t="shared" ca="1" si="11"/>
        <v>7</v>
      </c>
      <c r="I57" s="20">
        <f t="shared" ca="1" si="22"/>
        <v>9</v>
      </c>
      <c r="J57" s="20" cm="1">
        <f t="array" aca="1" ref="J57" ca="1">IF(I57="","",IF(I57&lt;&gt;I56,1,IF(J56=misLíneas-2,0,J56+1)))</f>
        <v>1</v>
      </c>
      <c r="K57" s="20" t="str" cm="1">
        <f t="array" aca="1" ref="K57" ca="1">IF(OR(J57=0,J57=""),"",INDEX(misCriticidades,I57)&amp;"-"&amp;IFERROR(MATCH(J57,miOrdenTarjeta,0),0))</f>
        <v>1-1</v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 t="str">
        <f t="shared" ca="1" si="24"/>
        <v/>
      </c>
      <c r="T57" s="20" t="str" cm="1">
        <f t="array" aca="1" ref="T57" ca="1">IF(S57="","",IF(S57&lt;&gt;S56,1,IF(T56=misLíneas-2,0,T56+1)))</f>
        <v/>
      </c>
      <c r="U57" s="20" t="str" cm="1">
        <f t="array" aca="1" ref="U57" ca="1">IF(OR(T57=0,T57=""),"",INDEX(misCriticidades,S57)&amp;"-"&amp;IFERROR(MATCH(T57,miOrdenTarjeta,0),0))</f>
        <v/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>
      <c r="B58" s="19" t="str">
        <f ca="1"/>
        <v/>
      </c>
      <c r="C58" s="20">
        <f t="shared" ca="1" si="20"/>
        <v>7</v>
      </c>
      <c r="D58" s="20">
        <f t="shared" ca="1" si="21"/>
        <v>31</v>
      </c>
      <c r="E58" s="20" cm="1">
        <f t="array" aca="1" ref="E58" ca="1">IF(D58="","",IF(D58&lt;&gt;D57,1,IF(E57=misLíneas-2,0,E57+1)))</f>
        <v>2</v>
      </c>
      <c r="F58" s="20" t="str" cm="1">
        <f t="array" aca="1" ref="F58" ca="1">IF(OR(E58=0,E58=""),"",INDEX(misCriticidades,D58)&amp;"-"&amp;IFERROR(MATCH(E58,miOrdenTarjeta,0),0))</f>
        <v>2-2</v>
      </c>
      <c r="G58" s="19" t="str">
        <f ca="1"/>
        <v/>
      </c>
      <c r="H58" s="20">
        <f t="shared" ca="1" si="11"/>
        <v>7</v>
      </c>
      <c r="I58" s="20">
        <f t="shared" ca="1" si="22"/>
        <v>9</v>
      </c>
      <c r="J58" s="20" cm="1">
        <f t="array" aca="1" ref="J58" ca="1">IF(I58="","",IF(I58&lt;&gt;I57,1,IF(J57=misLíneas-2,0,J57+1)))</f>
        <v>2</v>
      </c>
      <c r="K58" s="20" t="str" cm="1">
        <f t="array" aca="1" ref="K58" ca="1">IF(OR(J58=0,J58=""),"",INDEX(misCriticidades,I58)&amp;"-"&amp;IFERROR(MATCH(J58,miOrdenTarjeta,0),0))</f>
        <v>1-2</v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 t="str">
        <f t="shared" ca="1" si="24"/>
        <v/>
      </c>
      <c r="T58" s="20" t="str" cm="1">
        <f t="array" aca="1" ref="T58" ca="1">IF(S58="","",IF(S58&lt;&gt;S57,1,IF(T57=misLíneas-2,0,T57+1)))</f>
        <v/>
      </c>
      <c r="U58" s="20" t="str" cm="1">
        <f t="array" aca="1" ref="U58" ca="1">IF(OR(T58=0,T58=""),"",INDEX(misCriticidades,S58)&amp;"-"&amp;IFERROR(MATCH(T58,miOrdenTarjeta,0),0))</f>
        <v/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>
      <c r="B59" s="19" t="str">
        <f ca="1"/>
        <v/>
      </c>
      <c r="C59" s="20">
        <f t="shared" ca="1" si="20"/>
        <v>7</v>
      </c>
      <c r="D59" s="20">
        <f t="shared" ca="1" si="21"/>
        <v>31</v>
      </c>
      <c r="E59" s="20" cm="1">
        <f t="array" aca="1" ref="E59" ca="1">IF(D59="","",IF(D59&lt;&gt;D58,1,IF(E58=misLíneas-2,0,E58+1)))</f>
        <v>3</v>
      </c>
      <c r="F59" s="20" t="str" cm="1">
        <f t="array" aca="1" ref="F59" ca="1">IF(OR(E59=0,E59=""),"",INDEX(misCriticidades,D59)&amp;"-"&amp;IFERROR(MATCH(E59,miOrdenTarjeta,0),0))</f>
        <v>2-3</v>
      </c>
      <c r="G59" s="19" t="str">
        <f ca="1"/>
        <v/>
      </c>
      <c r="H59" s="20">
        <f t="shared" ca="1" si="11"/>
        <v>7</v>
      </c>
      <c r="I59" s="20">
        <f t="shared" ca="1" si="22"/>
        <v>9</v>
      </c>
      <c r="J59" s="20" cm="1">
        <f t="array" aca="1" ref="J59" ca="1">IF(I59="","",IF(I59&lt;&gt;I58,1,IF(J58=misLíneas-2,0,J58+1)))</f>
        <v>3</v>
      </c>
      <c r="K59" s="20" t="str" cm="1">
        <f t="array" aca="1" ref="K59" ca="1">IF(OR(J59=0,J59=""),"",INDEX(misCriticidades,I59)&amp;"-"&amp;IFERROR(MATCH(J59,miOrdenTarjeta,0),0))</f>
        <v>1-3</v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 t="str">
        <f t="shared" ca="1" si="24"/>
        <v/>
      </c>
      <c r="T59" s="20" t="str" cm="1">
        <f t="array" aca="1" ref="T59" ca="1">IF(S59="","",IF(S59&lt;&gt;S58,1,IF(T58=misLíneas-2,0,T58+1)))</f>
        <v/>
      </c>
      <c r="U59" s="20" t="str" cm="1">
        <f t="array" aca="1" ref="U59" ca="1">IF(OR(T59=0,T59=""),"",INDEX(misCriticidades,S59)&amp;"-"&amp;IFERROR(MATCH(T59,miOrdenTarjeta,0),0))</f>
        <v/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>
      <c r="B60" s="19" t="str">
        <f ca="1"/>
        <v/>
      </c>
      <c r="C60" s="20">
        <f t="shared" ca="1" si="20"/>
        <v>7</v>
      </c>
      <c r="D60" s="20">
        <f t="shared" ca="1" si="21"/>
        <v>31</v>
      </c>
      <c r="E60" s="20" cm="1">
        <f t="array" aca="1" ref="E60" ca="1">IF(D60="","",IF(D60&lt;&gt;D59,1,IF(E59=misLíneas-2,0,E59+1)))</f>
        <v>4</v>
      </c>
      <c r="F60" s="20" t="str" cm="1">
        <f t="array" aca="1" ref="F60" ca="1">IF(OR(E60=0,E60=""),"",INDEX(misCriticidades,D60)&amp;"-"&amp;IFERROR(MATCH(E60,miOrdenTarjeta,0),0))</f>
        <v>2-4</v>
      </c>
      <c r="G60" s="19" t="str">
        <f ca="1"/>
        <v/>
      </c>
      <c r="H60" s="20">
        <f t="shared" ca="1" si="11"/>
        <v>7</v>
      </c>
      <c r="I60" s="20">
        <f t="shared" ca="1" si="22"/>
        <v>9</v>
      </c>
      <c r="J60" s="20" cm="1">
        <f t="array" aca="1" ref="J60" ca="1">IF(I60="","",IF(I60&lt;&gt;I59,1,IF(J59=misLíneas-2,0,J59+1)))</f>
        <v>4</v>
      </c>
      <c r="K60" s="20" t="str" cm="1">
        <f t="array" aca="1" ref="K60" ca="1">IF(OR(J60=0,J60=""),"",INDEX(misCriticidades,I60)&amp;"-"&amp;IFERROR(MATCH(J60,miOrdenTarjeta,0),0))</f>
        <v>1-4</v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 t="str">
        <f t="shared" ca="1" si="24"/>
        <v/>
      </c>
      <c r="T60" s="20" t="str" cm="1">
        <f t="array" aca="1" ref="T60" ca="1">IF(S60="","",IF(S60&lt;&gt;S59,1,IF(T59=misLíneas-2,0,T59+1)))</f>
        <v/>
      </c>
      <c r="U60" s="20" t="str" cm="1">
        <f t="array" aca="1" ref="U60" ca="1">IF(OR(T60=0,T60=""),"",INDEX(misCriticidades,S60)&amp;"-"&amp;IFERROR(MATCH(T60,miOrdenTarjeta,0),0))</f>
        <v/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>
      <c r="B61" s="19" t="str">
        <f ca="1"/>
        <v/>
      </c>
      <c r="C61" s="20">
        <f t="shared" ca="1" si="20"/>
        <v>7</v>
      </c>
      <c r="D61" s="20">
        <f t="shared" ca="1" si="21"/>
        <v>31</v>
      </c>
      <c r="E61" s="20" cm="1">
        <f t="array" aca="1" ref="E61" ca="1">IF(D61="","",IF(D61&lt;&gt;D60,1,IF(E60=misLíneas-2,0,E60+1)))</f>
        <v>5</v>
      </c>
      <c r="F61" s="20" t="str" cm="1">
        <f t="array" aca="1" ref="F61" ca="1">IF(OR(E61=0,E61=""),"",INDEX(misCriticidades,D61)&amp;"-"&amp;IFERROR(MATCH(E61,miOrdenTarjeta,0),0))</f>
        <v>2-5</v>
      </c>
      <c r="G61" s="19" t="str">
        <f ca="1"/>
        <v/>
      </c>
      <c r="H61" s="20">
        <f t="shared" ca="1" si="11"/>
        <v>7</v>
      </c>
      <c r="I61" s="20">
        <f t="shared" ca="1" si="22"/>
        <v>9</v>
      </c>
      <c r="J61" s="20" cm="1">
        <f t="array" aca="1" ref="J61" ca="1">IF(I61="","",IF(I61&lt;&gt;I60,1,IF(J60=misLíneas-2,0,J60+1)))</f>
        <v>5</v>
      </c>
      <c r="K61" s="20" t="str" cm="1">
        <f t="array" aca="1" ref="K61" ca="1">IF(OR(J61=0,J61=""),"",INDEX(misCriticidades,I61)&amp;"-"&amp;IFERROR(MATCH(J61,miOrdenTarjeta,0),0))</f>
        <v>1-5</v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 t="str">
        <f t="shared" ca="1" si="24"/>
        <v/>
      </c>
      <c r="T61" s="20" t="str" cm="1">
        <f t="array" aca="1" ref="T61" ca="1">IF(S61="","",IF(S61&lt;&gt;S60,1,IF(T60=misLíneas-2,0,T60+1)))</f>
        <v/>
      </c>
      <c r="U61" s="20" t="str" cm="1">
        <f t="array" aca="1" ref="U61" ca="1">IF(OR(T61=0,T61=""),"",INDEX(misCriticidades,S61)&amp;"-"&amp;IFERROR(MATCH(T61,miOrdenTarjeta,0),0))</f>
        <v/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>
      <c r="B62" s="19" t="str">
        <f ca="1"/>
        <v/>
      </c>
      <c r="C62" s="20">
        <f t="shared" ca="1" si="20"/>
        <v>7</v>
      </c>
      <c r="D62" s="20">
        <f t="shared" ca="1" si="21"/>
        <v>31</v>
      </c>
      <c r="E62" s="20" cm="1">
        <f t="array" aca="1" ref="E62" ca="1">IF(D62="","",IF(D62&lt;&gt;D61,1,IF(E61=misLíneas-2,0,E61+1)))</f>
        <v>6</v>
      </c>
      <c r="F62" s="20" t="str" cm="1">
        <f t="array" aca="1" ref="F62" ca="1">IF(OR(E62=0,E62=""),"",INDEX(misCriticidades,D62)&amp;"-"&amp;IFERROR(MATCH(E62,miOrdenTarjeta,0),0))</f>
        <v>2-6</v>
      </c>
      <c r="G62" s="19" t="str">
        <f ca="1"/>
        <v/>
      </c>
      <c r="H62" s="20">
        <f t="shared" ca="1" si="11"/>
        <v>7</v>
      </c>
      <c r="I62" s="20">
        <f t="shared" ca="1" si="22"/>
        <v>9</v>
      </c>
      <c r="J62" s="20" cm="1">
        <f t="array" aca="1" ref="J62" ca="1">IF(I62="","",IF(I62&lt;&gt;I61,1,IF(J61=misLíneas-2,0,J61+1)))</f>
        <v>6</v>
      </c>
      <c r="K62" s="20" t="str" cm="1">
        <f t="array" aca="1" ref="K62" ca="1">IF(OR(J62=0,J62=""),"",INDEX(misCriticidades,I62)&amp;"-"&amp;IFERROR(MATCH(J62,miOrdenTarjeta,0),0))</f>
        <v>1-6</v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 t="str">
        <f t="shared" ca="1" si="24"/>
        <v/>
      </c>
      <c r="T62" s="20" t="str" cm="1">
        <f t="array" aca="1" ref="T62" ca="1">IF(S62="","",IF(S62&lt;&gt;S61,1,IF(T61=misLíneas-2,0,T61+1)))</f>
        <v/>
      </c>
      <c r="U62" s="20" t="str" cm="1">
        <f t="array" aca="1" ref="U62" ca="1">IF(OR(T62=0,T62=""),"",INDEX(misCriticidades,S62)&amp;"-"&amp;IFERROR(MATCH(T62,miOrdenTarjeta,0),0))</f>
        <v/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>
      <c r="B63" s="19" t="str">
        <f ca="1"/>
        <v/>
      </c>
      <c r="C63" s="20">
        <f t="shared" ca="1" si="20"/>
        <v>7</v>
      </c>
      <c r="D63" s="20">
        <f t="shared" ca="1" si="21"/>
        <v>31</v>
      </c>
      <c r="E63" s="20" cm="1">
        <f t="array" aca="1" ref="E63" ca="1">IF(D63="","",IF(D63&lt;&gt;D62,1,IF(E62=misLíneas-2,0,E62+1)))</f>
        <v>7</v>
      </c>
      <c r="F63" s="20" t="str" cm="1">
        <f t="array" aca="1" ref="F63" ca="1">IF(OR(E63=0,E63=""),"",INDEX(misCriticidades,D63)&amp;"-"&amp;IFERROR(MATCH(E63,miOrdenTarjeta,0),0))</f>
        <v>2-7</v>
      </c>
      <c r="G63" s="19" t="str">
        <f ca="1"/>
        <v/>
      </c>
      <c r="H63" s="20">
        <f t="shared" ca="1" si="11"/>
        <v>7</v>
      </c>
      <c r="I63" s="20">
        <f t="shared" ca="1" si="22"/>
        <v>9</v>
      </c>
      <c r="J63" s="20" cm="1">
        <f t="array" aca="1" ref="J63" ca="1">IF(I63="","",IF(I63&lt;&gt;I62,1,IF(J62=misLíneas-2,0,J62+1)))</f>
        <v>7</v>
      </c>
      <c r="K63" s="20" t="str" cm="1">
        <f t="array" aca="1" ref="K63" ca="1">IF(OR(J63=0,J63=""),"",INDEX(misCriticidades,I63)&amp;"-"&amp;IFERROR(MATCH(J63,miOrdenTarjeta,0),0))</f>
        <v>1-7</v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 t="str">
        <f t="shared" ca="1" si="24"/>
        <v/>
      </c>
      <c r="T63" s="20" t="str" cm="1">
        <f t="array" aca="1" ref="T63" ca="1">IF(S63="","",IF(S63&lt;&gt;S62,1,IF(T62=misLíneas-2,0,T62+1)))</f>
        <v/>
      </c>
      <c r="U63" s="20" t="str" cm="1">
        <f t="array" aca="1" ref="U63" ca="1">IF(OR(T63=0,T63=""),"",INDEX(misCriticidades,S63)&amp;"-"&amp;IFERROR(MATCH(T63,miOrdenTarjeta,0),0))</f>
        <v/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>
      <c r="B64" s="19" t="str">
        <f ca="1"/>
        <v/>
      </c>
      <c r="C64" s="20">
        <f t="shared" ca="1" si="20"/>
        <v>7</v>
      </c>
      <c r="D64" s="20">
        <f t="shared" ca="1" si="21"/>
        <v>31</v>
      </c>
      <c r="E64" s="20" cm="1">
        <f t="array" aca="1" ref="E64" ca="1">IF(D64="","",IF(D64&lt;&gt;D63,1,IF(E63=misLíneas-2,0,E63+1)))</f>
        <v>8</v>
      </c>
      <c r="F64" s="20" t="str" cm="1">
        <f t="array" aca="1" ref="F64" ca="1">IF(OR(E64=0,E64=""),"",INDEX(misCriticidades,D64)&amp;"-"&amp;IFERROR(MATCH(E64,miOrdenTarjeta,0),0))</f>
        <v>2-8</v>
      </c>
      <c r="G64" s="19" t="str">
        <f ca="1"/>
        <v/>
      </c>
      <c r="H64" s="20">
        <f t="shared" ca="1" si="11"/>
        <v>7</v>
      </c>
      <c r="I64" s="20">
        <f t="shared" ca="1" si="22"/>
        <v>9</v>
      </c>
      <c r="J64" s="20" cm="1">
        <f t="array" aca="1" ref="J64" ca="1">IF(I64="","",IF(I64&lt;&gt;I63,1,IF(J63=misLíneas-2,0,J63+1)))</f>
        <v>8</v>
      </c>
      <c r="K64" s="20" t="str" cm="1">
        <f t="array" aca="1" ref="K64" ca="1">IF(OR(J64=0,J64=""),"",INDEX(misCriticidades,I64)&amp;"-"&amp;IFERROR(MATCH(J64,miOrdenTarjeta,0),0))</f>
        <v>1-8</v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 t="str">
        <f t="shared" ca="1" si="24"/>
        <v/>
      </c>
      <c r="T64" s="20" t="str" cm="1">
        <f t="array" aca="1" ref="T64" ca="1">IF(S64="","",IF(S64&lt;&gt;S63,1,IF(T63=misLíneas-2,0,T63+1)))</f>
        <v/>
      </c>
      <c r="U64" s="20" t="str" cm="1">
        <f t="array" aca="1" ref="U64" ca="1">IF(OR(T64=0,T64=""),"",INDEX(misCriticidades,S64)&amp;"-"&amp;IFERROR(MATCH(T64,miOrdenTarjeta,0),0))</f>
        <v/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>
      <c r="B65" s="19" t="str">
        <f ca="1"/>
        <v/>
      </c>
      <c r="C65" s="20">
        <f t="shared" ca="1" si="20"/>
        <v>7</v>
      </c>
      <c r="D65" s="20">
        <f t="shared" ca="1" si="21"/>
        <v>31</v>
      </c>
      <c r="E65" s="20" cm="1">
        <f t="array" aca="1" ref="E65" ca="1">IF(D65="","",IF(D65&lt;&gt;D64,1,IF(E64=misLíneas-2,0,E64+1)))</f>
        <v>0</v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7</v>
      </c>
      <c r="I65" s="20">
        <f t="shared" ca="1" si="22"/>
        <v>9</v>
      </c>
      <c r="J65" s="20" cm="1">
        <f t="array" aca="1" ref="J65" ca="1">IF(I65="","",IF(I65&lt;&gt;I64,1,IF(J64=misLíneas-2,0,J64+1)))</f>
        <v>0</v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 t="str">
        <f t="shared" ca="1" si="24"/>
        <v/>
      </c>
      <c r="T65" s="20" t="str" cm="1">
        <f t="array" aca="1" ref="T65" ca="1">IF(S65="","",IF(S65&lt;&gt;S64,1,IF(T64=misLíneas-2,0,T64+1)))</f>
        <v/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>
      <c r="B66" s="19" t="str">
        <f ca="1"/>
        <v/>
      </c>
      <c r="C66" s="20">
        <f t="shared" ca="1" si="20"/>
        <v>8</v>
      </c>
      <c r="D66" s="20">
        <f t="shared" ca="1" si="21"/>
        <v>30</v>
      </c>
      <c r="E66" s="20" cm="1">
        <f t="array" aca="1" ref="E66" ca="1">IF(D66="","",IF(D66&lt;&gt;D65,1,IF(E65=misLíneas-2,0,E65+1)))</f>
        <v>1</v>
      </c>
      <c r="F66" s="20" t="str" cm="1">
        <f t="array" aca="1" ref="F66" ca="1">IF(OR(E66=0,E66=""),"",INDEX(misCriticidades,D66)&amp;"-"&amp;IFERROR(MATCH(E66,miOrdenTarjeta,0),0))</f>
        <v>2-1</v>
      </c>
      <c r="G66" s="19" t="str">
        <f ca="1"/>
        <v/>
      </c>
      <c r="H66" s="20">
        <f t="shared" ca="1" si="11"/>
        <v>8</v>
      </c>
      <c r="I66" s="20">
        <f t="shared" ca="1" si="22"/>
        <v>8</v>
      </c>
      <c r="J66" s="20" cm="1">
        <f t="array" aca="1" ref="J66" ca="1">IF(I66="","",IF(I66&lt;&gt;I65,1,IF(J65=misLíneas-2,0,J65+1)))</f>
        <v>1</v>
      </c>
      <c r="K66" s="20" t="str" cm="1">
        <f t="array" aca="1" ref="K66" ca="1">IF(OR(J66=0,J66=""),"",INDEX(misCriticidades,I66)&amp;"-"&amp;IFERROR(MATCH(J66,miOrdenTarjeta,0),0))</f>
        <v>1-1</v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7</v>
      </c>
      <c r="S66" s="20" t="str">
        <f t="shared" ca="1" si="24"/>
        <v/>
      </c>
      <c r="T66" s="20" t="str" cm="1">
        <f t="array" aca="1" ref="T66" ca="1">IF(S66="","",IF(S66&lt;&gt;S65,1,IF(T65=misLíneas-2,0,T65+1)))</f>
        <v/>
      </c>
      <c r="U66" s="20" t="str" cm="1">
        <f t="array" aca="1" ref="U66" ca="1">IF(OR(T66=0,T66=""),"",INDEX(misCriticidades,S66)&amp;"-"&amp;IFERROR(MATCH(T66,miOrdenTarjeta,0),0))</f>
        <v/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>
      <c r="B67" s="19" t="str">
        <f ca="1"/>
        <v/>
      </c>
      <c r="C67" s="20">
        <f t="shared" ca="1" si="20"/>
        <v>8</v>
      </c>
      <c r="D67" s="20">
        <f t="shared" ref="D67:D98" ca="1" si="26">IF(C67&gt;C66,IFERROR(IF(F$1="v",SMALL(B$2:B$101,C67),LARGE(B$2:B$101,C67)),""),D66)</f>
        <v>30</v>
      </c>
      <c r="E67" s="20" cm="1">
        <f t="array" aca="1" ref="E67" ca="1">IF(D67="","",IF(D67&lt;&gt;D66,1,IF(E66=misLíneas-2,0,E66+1)))</f>
        <v>2</v>
      </c>
      <c r="F67" s="20" t="str" cm="1">
        <f t="array" aca="1" ref="F67" ca="1">IF(OR(E67=0,E67=""),"",INDEX(misCriticidades,D67)&amp;"-"&amp;IFERROR(MATCH(E67,miOrdenTarjeta,0),0))</f>
        <v>2-2</v>
      </c>
      <c r="G67" s="19" t="str">
        <f ca="1"/>
        <v/>
      </c>
      <c r="H67" s="20">
        <f t="shared" ca="1" si="11"/>
        <v>8</v>
      </c>
      <c r="I67" s="20">
        <f t="shared" ref="I67:I98" ca="1" si="27">IF(H67&gt;H66,IFERROR(IF(K$1="v",SMALL(G$2:G$101,H67),LARGE(G$2:G$101,H67)),""),I66)</f>
        <v>8</v>
      </c>
      <c r="J67" s="20" cm="1">
        <f t="array" aca="1" ref="J67" ca="1">IF(I67="","",IF(I67&lt;&gt;I66,1,IF(J66=misLíneas-2,0,J66+1)))</f>
        <v>2</v>
      </c>
      <c r="K67" s="20" t="str" cm="1">
        <f t="array" aca="1" ref="K67" ca="1">IF(OR(J67=0,J67=""),"",INDEX(misCriticidades,I67)&amp;"-"&amp;IFERROR(MATCH(J67,miOrdenTarjeta,0),0))</f>
        <v>1-2</v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7</v>
      </c>
      <c r="S67" s="20" t="str">
        <f t="shared" ref="S67:S98" ca="1" si="29">IF(R67&gt;R66,IFERROR(IF(U$1="v",SMALL(Q$2:Q$101,R67),LARGE(Q$2:Q$101,R67)),""),S66)</f>
        <v/>
      </c>
      <c r="T67" s="20" t="str" cm="1">
        <f t="array" aca="1" ref="T67" ca="1">IF(S67="","",IF(S67&lt;&gt;S66,1,IF(T66=misLíneas-2,0,T66+1)))</f>
        <v/>
      </c>
      <c r="U67" s="20" t="str" cm="1">
        <f t="array" aca="1" ref="U67" ca="1">IF(OR(T67=0,T67=""),"",INDEX(misCriticidades,S67)&amp;"-"&amp;IFERROR(MATCH(T67,miOrdenTarjeta,0),0))</f>
        <v/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>
      <c r="B68" s="19" t="str">
        <f ca="1"/>
        <v/>
      </c>
      <c r="C68" s="20">
        <f t="shared" ca="1" si="20"/>
        <v>8</v>
      </c>
      <c r="D68" s="20">
        <f t="shared" ca="1" si="26"/>
        <v>30</v>
      </c>
      <c r="E68" s="20" cm="1">
        <f t="array" aca="1" ref="E68" ca="1">IF(D68="","",IF(D68&lt;&gt;D67,1,IF(E67=misLíneas-2,0,E67+1)))</f>
        <v>3</v>
      </c>
      <c r="F68" s="20" t="str" cm="1">
        <f t="array" aca="1" ref="F68" ca="1">IF(OR(E68=0,E68=""),"",INDEX(misCriticidades,D68)&amp;"-"&amp;IFERROR(MATCH(E68,miOrdenTarjeta,0),0))</f>
        <v>2-3</v>
      </c>
      <c r="G68" s="19" t="str">
        <f ca="1"/>
        <v/>
      </c>
      <c r="H68" s="20">
        <f t="shared" ref="H68:H131" ca="1" si="36">H67--(J67=0)</f>
        <v>8</v>
      </c>
      <c r="I68" s="20">
        <f t="shared" ca="1" si="27"/>
        <v>8</v>
      </c>
      <c r="J68" s="20" cm="1">
        <f t="array" aca="1" ref="J68" ca="1">IF(I68="","",IF(I68&lt;&gt;I67,1,IF(J67=misLíneas-2,0,J67+1)))</f>
        <v>3</v>
      </c>
      <c r="K68" s="20" t="str" cm="1">
        <f t="array" aca="1" ref="K68" ca="1">IF(OR(J68=0,J68=""),"",INDEX(misCriticidades,I68)&amp;"-"&amp;IFERROR(MATCH(J68,miOrdenTarjeta,0),0))</f>
        <v>1-3</v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7</v>
      </c>
      <c r="S68" s="20" t="str">
        <f t="shared" ca="1" si="29"/>
        <v/>
      </c>
      <c r="T68" s="20" t="str" cm="1">
        <f t="array" aca="1" ref="T68" ca="1">IF(S68="","",IF(S68&lt;&gt;S67,1,IF(T67=misLíneas-2,0,T67+1)))</f>
        <v/>
      </c>
      <c r="U68" s="20" t="str" cm="1">
        <f t="array" aca="1" ref="U68" ca="1">IF(OR(T68=0,T68=""),"",INDEX(misCriticidades,S68)&amp;"-"&amp;IFERROR(MATCH(T68,miOrdenTarjeta,0),0))</f>
        <v/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>
      <c r="B69" s="19" t="str">
        <f ca="1"/>
        <v/>
      </c>
      <c r="C69" s="20">
        <f t="shared" ca="1" si="20"/>
        <v>8</v>
      </c>
      <c r="D69" s="20">
        <f t="shared" ca="1" si="26"/>
        <v>30</v>
      </c>
      <c r="E69" s="20" cm="1">
        <f t="array" aca="1" ref="E69" ca="1">IF(D69="","",IF(D69&lt;&gt;D68,1,IF(E68=misLíneas-2,0,E68+1)))</f>
        <v>4</v>
      </c>
      <c r="F69" s="20" t="str" cm="1">
        <f t="array" aca="1" ref="F69" ca="1">IF(OR(E69=0,E69=""),"",INDEX(misCriticidades,D69)&amp;"-"&amp;IFERROR(MATCH(E69,miOrdenTarjeta,0),0))</f>
        <v>2-4</v>
      </c>
      <c r="G69" s="19" t="str">
        <f ca="1"/>
        <v/>
      </c>
      <c r="H69" s="20">
        <f t="shared" ca="1" si="36"/>
        <v>8</v>
      </c>
      <c r="I69" s="20">
        <f t="shared" ca="1" si="27"/>
        <v>8</v>
      </c>
      <c r="J69" s="20" cm="1">
        <f t="array" aca="1" ref="J69" ca="1">IF(I69="","",IF(I69&lt;&gt;I68,1,IF(J68=misLíneas-2,0,J68+1)))</f>
        <v>4</v>
      </c>
      <c r="K69" s="20" t="str" cm="1">
        <f t="array" aca="1" ref="K69" ca="1">IF(OR(J69=0,J69=""),"",INDEX(misCriticidades,I69)&amp;"-"&amp;IFERROR(MATCH(J69,miOrdenTarjeta,0),0))</f>
        <v>1-4</v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7</v>
      </c>
      <c r="S69" s="20" t="str">
        <f t="shared" ca="1" si="29"/>
        <v/>
      </c>
      <c r="T69" s="20" t="str" cm="1">
        <f t="array" aca="1" ref="T69" ca="1">IF(S69="","",IF(S69&lt;&gt;S68,1,IF(T68=misLíneas-2,0,T68+1)))</f>
        <v/>
      </c>
      <c r="U69" s="20" t="str" cm="1">
        <f t="array" aca="1" ref="U69" ca="1">IF(OR(T69=0,T69=""),"",INDEX(misCriticidades,S69)&amp;"-"&amp;IFERROR(MATCH(T69,miOrdenTarjeta,0),0))</f>
        <v/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>
      <c r="B70" s="19" t="str">
        <f ca="1"/>
        <v/>
      </c>
      <c r="C70" s="20">
        <f t="shared" ca="1" si="20"/>
        <v>8</v>
      </c>
      <c r="D70" s="20">
        <f t="shared" ca="1" si="26"/>
        <v>30</v>
      </c>
      <c r="E70" s="20" cm="1">
        <f t="array" aca="1" ref="E70" ca="1">IF(D70="","",IF(D70&lt;&gt;D69,1,IF(E69=misLíneas-2,0,E69+1)))</f>
        <v>5</v>
      </c>
      <c r="F70" s="20" t="str" cm="1">
        <f t="array" aca="1" ref="F70" ca="1">IF(OR(E70=0,E70=""),"",INDEX(misCriticidades,D70)&amp;"-"&amp;IFERROR(MATCH(E70,miOrdenTarjeta,0),0))</f>
        <v>2-5</v>
      </c>
      <c r="G70" s="19" t="str">
        <f ca="1"/>
        <v/>
      </c>
      <c r="H70" s="20">
        <f t="shared" ca="1" si="36"/>
        <v>8</v>
      </c>
      <c r="I70" s="20">
        <f t="shared" ca="1" si="27"/>
        <v>8</v>
      </c>
      <c r="J70" s="20" cm="1">
        <f t="array" aca="1" ref="J70" ca="1">IF(I70="","",IF(I70&lt;&gt;I69,1,IF(J69=misLíneas-2,0,J69+1)))</f>
        <v>5</v>
      </c>
      <c r="K70" s="20" t="str" cm="1">
        <f t="array" aca="1" ref="K70" ca="1">IF(OR(J70=0,J70=""),"",INDEX(misCriticidades,I70)&amp;"-"&amp;IFERROR(MATCH(J70,miOrdenTarjeta,0),0))</f>
        <v>1-5</v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7</v>
      </c>
      <c r="S70" s="20" t="str">
        <f t="shared" ca="1" si="29"/>
        <v/>
      </c>
      <c r="T70" s="20" t="str" cm="1">
        <f t="array" aca="1" ref="T70" ca="1">IF(S70="","",IF(S70&lt;&gt;S69,1,IF(T69=misLíneas-2,0,T69+1)))</f>
        <v/>
      </c>
      <c r="U70" s="20" t="str" cm="1">
        <f t="array" aca="1" ref="U70" ca="1">IF(OR(T70=0,T70=""),"",INDEX(misCriticidades,S70)&amp;"-"&amp;IFERROR(MATCH(T70,miOrdenTarjeta,0),0))</f>
        <v/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>
      <c r="B71" s="19" t="str">
        <f ca="1"/>
        <v/>
      </c>
      <c r="C71" s="20">
        <f t="shared" ca="1" si="20"/>
        <v>8</v>
      </c>
      <c r="D71" s="20">
        <f t="shared" ca="1" si="26"/>
        <v>30</v>
      </c>
      <c r="E71" s="20" cm="1">
        <f t="array" aca="1" ref="E71" ca="1">IF(D71="","",IF(D71&lt;&gt;D70,1,IF(E70=misLíneas-2,0,E70+1)))</f>
        <v>6</v>
      </c>
      <c r="F71" s="20" t="str" cm="1">
        <f t="array" aca="1" ref="F71" ca="1">IF(OR(E71=0,E71=""),"",INDEX(misCriticidades,D71)&amp;"-"&amp;IFERROR(MATCH(E71,miOrdenTarjeta,0),0))</f>
        <v>2-6</v>
      </c>
      <c r="G71" s="19" t="str">
        <f ca="1"/>
        <v/>
      </c>
      <c r="H71" s="20">
        <f t="shared" ca="1" si="36"/>
        <v>8</v>
      </c>
      <c r="I71" s="20">
        <f t="shared" ca="1" si="27"/>
        <v>8</v>
      </c>
      <c r="J71" s="20" cm="1">
        <f t="array" aca="1" ref="J71" ca="1">IF(I71="","",IF(I71&lt;&gt;I70,1,IF(J70=misLíneas-2,0,J70+1)))</f>
        <v>6</v>
      </c>
      <c r="K71" s="20" t="str" cm="1">
        <f t="array" aca="1" ref="K71" ca="1">IF(OR(J71=0,J71=""),"",INDEX(misCriticidades,I71)&amp;"-"&amp;IFERROR(MATCH(J71,miOrdenTarjeta,0),0))</f>
        <v>1-6</v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7</v>
      </c>
      <c r="S71" s="20" t="str">
        <f t="shared" ca="1" si="29"/>
        <v/>
      </c>
      <c r="T71" s="20" t="str" cm="1">
        <f t="array" aca="1" ref="T71" ca="1">IF(S71="","",IF(S71&lt;&gt;S70,1,IF(T70=misLíneas-2,0,T70+1)))</f>
        <v/>
      </c>
      <c r="U71" s="20" t="str" cm="1">
        <f t="array" aca="1" ref="U71" ca="1">IF(OR(T71=0,T71=""),"",INDEX(misCriticidades,S71)&amp;"-"&amp;IFERROR(MATCH(T71,miOrdenTarjeta,0),0))</f>
        <v/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>
      <c r="B72" s="19" t="str">
        <f ca="1"/>
        <v/>
      </c>
      <c r="C72" s="20">
        <f t="shared" ca="1" si="20"/>
        <v>8</v>
      </c>
      <c r="D72" s="20">
        <f t="shared" ca="1" si="26"/>
        <v>30</v>
      </c>
      <c r="E72" s="20" cm="1">
        <f t="array" aca="1" ref="E72" ca="1">IF(D72="","",IF(D72&lt;&gt;D71,1,IF(E71=misLíneas-2,0,E71+1)))</f>
        <v>7</v>
      </c>
      <c r="F72" s="20" t="str" cm="1">
        <f t="array" aca="1" ref="F72" ca="1">IF(OR(E72=0,E72=""),"",INDEX(misCriticidades,D72)&amp;"-"&amp;IFERROR(MATCH(E72,miOrdenTarjeta,0),0))</f>
        <v>2-7</v>
      </c>
      <c r="G72" s="19" t="str">
        <f ca="1"/>
        <v/>
      </c>
      <c r="H72" s="20">
        <f t="shared" ca="1" si="36"/>
        <v>8</v>
      </c>
      <c r="I72" s="20">
        <f t="shared" ca="1" si="27"/>
        <v>8</v>
      </c>
      <c r="J72" s="20" cm="1">
        <f t="array" aca="1" ref="J72" ca="1">IF(I72="","",IF(I72&lt;&gt;I71,1,IF(J71=misLíneas-2,0,J71+1)))</f>
        <v>7</v>
      </c>
      <c r="K72" s="20" t="str" cm="1">
        <f t="array" aca="1" ref="K72" ca="1">IF(OR(J72=0,J72=""),"",INDEX(misCriticidades,I72)&amp;"-"&amp;IFERROR(MATCH(J72,miOrdenTarjeta,0),0))</f>
        <v>1-7</v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7</v>
      </c>
      <c r="S72" s="20" t="str">
        <f t="shared" ca="1" si="29"/>
        <v/>
      </c>
      <c r="T72" s="20" t="str" cm="1">
        <f t="array" aca="1" ref="T72" ca="1">IF(S72="","",IF(S72&lt;&gt;S71,1,IF(T71=misLíneas-2,0,T71+1)))</f>
        <v/>
      </c>
      <c r="U72" s="20" t="str" cm="1">
        <f t="array" aca="1" ref="U72" ca="1">IF(OR(T72=0,T72=""),"",INDEX(misCriticidades,S72)&amp;"-"&amp;IFERROR(MATCH(T72,miOrdenTarjeta,0),0))</f>
        <v/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>
      <c r="B73" s="19" t="str">
        <f ca="1"/>
        <v/>
      </c>
      <c r="C73" s="20">
        <f t="shared" ca="1" si="20"/>
        <v>8</v>
      </c>
      <c r="D73" s="20">
        <f t="shared" ca="1" si="26"/>
        <v>30</v>
      </c>
      <c r="E73" s="20" cm="1">
        <f t="array" aca="1" ref="E73" ca="1">IF(D73="","",IF(D73&lt;&gt;D72,1,IF(E72=misLíneas-2,0,E72+1)))</f>
        <v>8</v>
      </c>
      <c r="F73" s="20" t="str" cm="1">
        <f t="array" aca="1" ref="F73" ca="1">IF(OR(E73=0,E73=""),"",INDEX(misCriticidades,D73)&amp;"-"&amp;IFERROR(MATCH(E73,miOrdenTarjeta,0),0))</f>
        <v>2-8</v>
      </c>
      <c r="G73" s="19" t="str">
        <f ca="1"/>
        <v/>
      </c>
      <c r="H73" s="20">
        <f t="shared" ca="1" si="36"/>
        <v>8</v>
      </c>
      <c r="I73" s="20">
        <f t="shared" ca="1" si="27"/>
        <v>8</v>
      </c>
      <c r="J73" s="20" cm="1">
        <f t="array" aca="1" ref="J73" ca="1">IF(I73="","",IF(I73&lt;&gt;I72,1,IF(J72=misLíneas-2,0,J72+1)))</f>
        <v>8</v>
      </c>
      <c r="K73" s="20" t="str" cm="1">
        <f t="array" aca="1" ref="K73" ca="1">IF(OR(J73=0,J73=""),"",INDEX(misCriticidades,I73)&amp;"-"&amp;IFERROR(MATCH(J73,miOrdenTarjeta,0),0))</f>
        <v>1-8</v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7</v>
      </c>
      <c r="S73" s="20" t="str">
        <f t="shared" ca="1" si="29"/>
        <v/>
      </c>
      <c r="T73" s="20" t="str" cm="1">
        <f t="array" aca="1" ref="T73" ca="1">IF(S73="","",IF(S73&lt;&gt;S72,1,IF(T72=misLíneas-2,0,T72+1)))</f>
        <v/>
      </c>
      <c r="U73" s="20" t="str" cm="1">
        <f t="array" aca="1" ref="U73" ca="1">IF(OR(T73=0,T73=""),"",INDEX(misCriticidades,S73)&amp;"-"&amp;IFERROR(MATCH(T73,miOrdenTarjeta,0),0))</f>
        <v/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>
      <c r="B74" s="19" t="str">
        <f ca="1"/>
        <v/>
      </c>
      <c r="C74" s="20">
        <f t="shared" ca="1" si="20"/>
        <v>8</v>
      </c>
      <c r="D74" s="20">
        <f t="shared" ca="1" si="26"/>
        <v>30</v>
      </c>
      <c r="E74" s="20" cm="1">
        <f t="array" aca="1" ref="E74" ca="1">IF(D74="","",IF(D74&lt;&gt;D73,1,IF(E73=misLíneas-2,0,E73+1)))</f>
        <v>0</v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8</v>
      </c>
      <c r="I74" s="20">
        <f t="shared" ca="1" si="27"/>
        <v>8</v>
      </c>
      <c r="J74" s="20" cm="1">
        <f t="array" aca="1" ref="J74" ca="1">IF(I74="","",IF(I74&lt;&gt;I73,1,IF(J73=misLíneas-2,0,J73+1)))</f>
        <v>0</v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7</v>
      </c>
      <c r="S74" s="20" t="str">
        <f t="shared" ca="1" si="29"/>
        <v/>
      </c>
      <c r="T74" s="20" t="str" cm="1">
        <f t="array" aca="1" ref="T74" ca="1">IF(S74="","",IF(S74&lt;&gt;S73,1,IF(T73=misLíneas-2,0,T73+1)))</f>
        <v/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>
      <c r="B75" s="19" t="str">
        <f ca="1"/>
        <v/>
      </c>
      <c r="C75" s="20">
        <f t="shared" ref="C75:C138" ca="1" si="45">C74--(E74=0)</f>
        <v>9</v>
      </c>
      <c r="D75" s="20">
        <f t="shared" ca="1" si="26"/>
        <v>29</v>
      </c>
      <c r="E75" s="20" cm="1">
        <f t="array" aca="1" ref="E75" ca="1">IF(D75="","",IF(D75&lt;&gt;D74,1,IF(E74=misLíneas-2,0,E74+1)))</f>
        <v>1</v>
      </c>
      <c r="F75" s="20" t="str" cm="1">
        <f t="array" aca="1" ref="F75" ca="1">IF(OR(E75=0,E75=""),"",INDEX(misCriticidades,D75)&amp;"-"&amp;IFERROR(MATCH(E75,miOrdenTarjeta,0),0))</f>
        <v>2-1</v>
      </c>
      <c r="G75" s="19" t="str">
        <f ca="1"/>
        <v/>
      </c>
      <c r="H75" s="20">
        <f t="shared" ca="1" si="36"/>
        <v>9</v>
      </c>
      <c r="I75" s="20">
        <f t="shared" ca="1" si="27"/>
        <v>7</v>
      </c>
      <c r="J75" s="20" cm="1">
        <f t="array" aca="1" ref="J75" ca="1">IF(I75="","",IF(I75&lt;&gt;I74,1,IF(J74=misLíneas-2,0,J74+1)))</f>
        <v>1</v>
      </c>
      <c r="K75" s="20" t="str" cm="1">
        <f t="array" aca="1" ref="K75" ca="1">IF(OR(J75=0,J75=""),"",INDEX(misCriticidades,I75)&amp;"-"&amp;IFERROR(MATCH(J75,miOrdenTarjeta,0),0))</f>
        <v>1-1</v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7</v>
      </c>
      <c r="S75" s="20" t="str">
        <f t="shared" ca="1" si="29"/>
        <v/>
      </c>
      <c r="T75" s="20" t="str" cm="1">
        <f t="array" aca="1" ref="T75" ca="1">IF(S75="","",IF(S75&lt;&gt;S74,1,IF(T74=misLíneas-2,0,T74+1)))</f>
        <v/>
      </c>
      <c r="U75" s="20" t="str" cm="1">
        <f t="array" aca="1" ref="U75" ca="1">IF(OR(T75=0,T75=""),"",INDEX(misCriticidades,S75)&amp;"-"&amp;IFERROR(MATCH(T75,miOrdenTarjeta,0),0))</f>
        <v/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>
      <c r="B76" s="19" t="str">
        <f ca="1"/>
        <v/>
      </c>
      <c r="C76" s="20">
        <f t="shared" ca="1" si="45"/>
        <v>9</v>
      </c>
      <c r="D76" s="20">
        <f t="shared" ca="1" si="26"/>
        <v>29</v>
      </c>
      <c r="E76" s="20" cm="1">
        <f t="array" aca="1" ref="E76" ca="1">IF(D76="","",IF(D76&lt;&gt;D75,1,IF(E75=misLíneas-2,0,E75+1)))</f>
        <v>2</v>
      </c>
      <c r="F76" s="20" t="str" cm="1">
        <f t="array" aca="1" ref="F76" ca="1">IF(OR(E76=0,E76=""),"",INDEX(misCriticidades,D76)&amp;"-"&amp;IFERROR(MATCH(E76,miOrdenTarjeta,0),0))</f>
        <v>2-2</v>
      </c>
      <c r="G76" s="19" t="str">
        <f ca="1"/>
        <v/>
      </c>
      <c r="H76" s="20">
        <f t="shared" ca="1" si="36"/>
        <v>9</v>
      </c>
      <c r="I76" s="20">
        <f t="shared" ca="1" si="27"/>
        <v>7</v>
      </c>
      <c r="J76" s="20" cm="1">
        <f t="array" aca="1" ref="J76" ca="1">IF(I76="","",IF(I76&lt;&gt;I75,1,IF(J75=misLíneas-2,0,J75+1)))</f>
        <v>2</v>
      </c>
      <c r="K76" s="20" t="str" cm="1">
        <f t="array" aca="1" ref="K76" ca="1">IF(OR(J76=0,J76=""),"",INDEX(misCriticidades,I76)&amp;"-"&amp;IFERROR(MATCH(J76,miOrdenTarjeta,0),0))</f>
        <v>1-2</v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7</v>
      </c>
      <c r="S76" s="20" t="str">
        <f t="shared" ca="1" si="29"/>
        <v/>
      </c>
      <c r="T76" s="20" t="str" cm="1">
        <f t="array" aca="1" ref="T76" ca="1">IF(S76="","",IF(S76&lt;&gt;S75,1,IF(T75=misLíneas-2,0,T75+1)))</f>
        <v/>
      </c>
      <c r="U76" s="20" t="str" cm="1">
        <f t="array" aca="1" ref="U76" ca="1">IF(OR(T76=0,T76=""),"",INDEX(misCriticidades,S76)&amp;"-"&amp;IFERROR(MATCH(T76,miOrdenTarjeta,0),0))</f>
        <v/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>
      <c r="B77" s="19" t="str">
        <f ca="1"/>
        <v/>
      </c>
      <c r="C77" s="20">
        <f t="shared" ca="1" si="45"/>
        <v>9</v>
      </c>
      <c r="D77" s="20">
        <f t="shared" ca="1" si="26"/>
        <v>29</v>
      </c>
      <c r="E77" s="20" cm="1">
        <f t="array" aca="1" ref="E77" ca="1">IF(D77="","",IF(D77&lt;&gt;D76,1,IF(E76=misLíneas-2,0,E76+1)))</f>
        <v>3</v>
      </c>
      <c r="F77" s="20" t="str" cm="1">
        <f t="array" aca="1" ref="F77" ca="1">IF(OR(E77=0,E77=""),"",INDEX(misCriticidades,D77)&amp;"-"&amp;IFERROR(MATCH(E77,miOrdenTarjeta,0),0))</f>
        <v>2-3</v>
      </c>
      <c r="G77" s="19" t="str">
        <f ca="1"/>
        <v/>
      </c>
      <c r="H77" s="20">
        <f t="shared" ca="1" si="36"/>
        <v>9</v>
      </c>
      <c r="I77" s="20">
        <f t="shared" ca="1" si="27"/>
        <v>7</v>
      </c>
      <c r="J77" s="20" cm="1">
        <f t="array" aca="1" ref="J77" ca="1">IF(I77="","",IF(I77&lt;&gt;I76,1,IF(J76=misLíneas-2,0,J76+1)))</f>
        <v>3</v>
      </c>
      <c r="K77" s="20" t="str" cm="1">
        <f t="array" aca="1" ref="K77" ca="1">IF(OR(J77=0,J77=""),"",INDEX(misCriticidades,I77)&amp;"-"&amp;IFERROR(MATCH(J77,miOrdenTarjeta,0),0))</f>
        <v>1-3</v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7</v>
      </c>
      <c r="S77" s="20" t="str">
        <f t="shared" ca="1" si="29"/>
        <v/>
      </c>
      <c r="T77" s="20" t="str" cm="1">
        <f t="array" aca="1" ref="T77" ca="1">IF(S77="","",IF(S77&lt;&gt;S76,1,IF(T76=misLíneas-2,0,T76+1)))</f>
        <v/>
      </c>
      <c r="U77" s="20" t="str" cm="1">
        <f t="array" aca="1" ref="U77" ca="1">IF(OR(T77=0,T77=""),"",INDEX(misCriticidades,S77)&amp;"-"&amp;IFERROR(MATCH(T77,miOrdenTarjeta,0),0))</f>
        <v/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>
      <c r="B78" s="19" t="str">
        <f ca="1"/>
        <v/>
      </c>
      <c r="C78" s="20">
        <f t="shared" ca="1" si="45"/>
        <v>9</v>
      </c>
      <c r="D78" s="20">
        <f t="shared" ca="1" si="26"/>
        <v>29</v>
      </c>
      <c r="E78" s="20" cm="1">
        <f t="array" aca="1" ref="E78" ca="1">IF(D78="","",IF(D78&lt;&gt;D77,1,IF(E77=misLíneas-2,0,E77+1)))</f>
        <v>4</v>
      </c>
      <c r="F78" s="20" t="str" cm="1">
        <f t="array" aca="1" ref="F78" ca="1">IF(OR(E78=0,E78=""),"",INDEX(misCriticidades,D78)&amp;"-"&amp;IFERROR(MATCH(E78,miOrdenTarjeta,0),0))</f>
        <v>2-4</v>
      </c>
      <c r="G78" s="19" t="str">
        <f ca="1"/>
        <v/>
      </c>
      <c r="H78" s="20">
        <f t="shared" ca="1" si="36"/>
        <v>9</v>
      </c>
      <c r="I78" s="20">
        <f t="shared" ca="1" si="27"/>
        <v>7</v>
      </c>
      <c r="J78" s="20" cm="1">
        <f t="array" aca="1" ref="J78" ca="1">IF(I78="","",IF(I78&lt;&gt;I77,1,IF(J77=misLíneas-2,0,J77+1)))</f>
        <v>4</v>
      </c>
      <c r="K78" s="20" t="str" cm="1">
        <f t="array" aca="1" ref="K78" ca="1">IF(OR(J78=0,J78=""),"",INDEX(misCriticidades,I78)&amp;"-"&amp;IFERROR(MATCH(J78,miOrdenTarjeta,0),0))</f>
        <v>1-4</v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7</v>
      </c>
      <c r="S78" s="20" t="str">
        <f t="shared" ca="1" si="29"/>
        <v/>
      </c>
      <c r="T78" s="20" t="str" cm="1">
        <f t="array" aca="1" ref="T78" ca="1">IF(S78="","",IF(S78&lt;&gt;S77,1,IF(T77=misLíneas-2,0,T77+1)))</f>
        <v/>
      </c>
      <c r="U78" s="20" t="str" cm="1">
        <f t="array" aca="1" ref="U78" ca="1">IF(OR(T78=0,T78=""),"",INDEX(misCriticidades,S78)&amp;"-"&amp;IFERROR(MATCH(T78,miOrdenTarjeta,0),0))</f>
        <v/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>
      <c r="B79" s="19" t="str">
        <f ca="1"/>
        <v/>
      </c>
      <c r="C79" s="20">
        <f t="shared" ca="1" si="45"/>
        <v>9</v>
      </c>
      <c r="D79" s="20">
        <f t="shared" ca="1" si="26"/>
        <v>29</v>
      </c>
      <c r="E79" s="20" cm="1">
        <f t="array" aca="1" ref="E79" ca="1">IF(D79="","",IF(D79&lt;&gt;D78,1,IF(E78=misLíneas-2,0,E78+1)))</f>
        <v>5</v>
      </c>
      <c r="F79" s="20" t="str" cm="1">
        <f t="array" aca="1" ref="F79" ca="1">IF(OR(E79=0,E79=""),"",INDEX(misCriticidades,D79)&amp;"-"&amp;IFERROR(MATCH(E79,miOrdenTarjeta,0),0))</f>
        <v>2-5</v>
      </c>
      <c r="G79" s="19" t="str">
        <f ca="1"/>
        <v/>
      </c>
      <c r="H79" s="20">
        <f t="shared" ca="1" si="36"/>
        <v>9</v>
      </c>
      <c r="I79" s="20">
        <f t="shared" ca="1" si="27"/>
        <v>7</v>
      </c>
      <c r="J79" s="20" cm="1">
        <f t="array" aca="1" ref="J79" ca="1">IF(I79="","",IF(I79&lt;&gt;I78,1,IF(J78=misLíneas-2,0,J78+1)))</f>
        <v>5</v>
      </c>
      <c r="K79" s="20" t="str" cm="1">
        <f t="array" aca="1" ref="K79" ca="1">IF(OR(J79=0,J79=""),"",INDEX(misCriticidades,I79)&amp;"-"&amp;IFERROR(MATCH(J79,miOrdenTarjeta,0),0))</f>
        <v>1-5</v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7</v>
      </c>
      <c r="S79" s="20" t="str">
        <f t="shared" ca="1" si="29"/>
        <v/>
      </c>
      <c r="T79" s="20" t="str" cm="1">
        <f t="array" aca="1" ref="T79" ca="1">IF(S79="","",IF(S79&lt;&gt;S78,1,IF(T78=misLíneas-2,0,T78+1)))</f>
        <v/>
      </c>
      <c r="U79" s="20" t="str" cm="1">
        <f t="array" aca="1" ref="U79" ca="1">IF(OR(T79=0,T79=""),"",INDEX(misCriticidades,S79)&amp;"-"&amp;IFERROR(MATCH(T79,miOrdenTarjeta,0),0))</f>
        <v/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>
      <c r="B80" s="19" t="str">
        <f ca="1"/>
        <v/>
      </c>
      <c r="C80" s="20">
        <f t="shared" ca="1" si="45"/>
        <v>9</v>
      </c>
      <c r="D80" s="20">
        <f t="shared" ca="1" si="26"/>
        <v>29</v>
      </c>
      <c r="E80" s="20" cm="1">
        <f t="array" aca="1" ref="E80" ca="1">IF(D80="","",IF(D80&lt;&gt;D79,1,IF(E79=misLíneas-2,0,E79+1)))</f>
        <v>6</v>
      </c>
      <c r="F80" s="20" t="str" cm="1">
        <f t="array" aca="1" ref="F80" ca="1">IF(OR(E80=0,E80=""),"",INDEX(misCriticidades,D80)&amp;"-"&amp;IFERROR(MATCH(E80,miOrdenTarjeta,0),0))</f>
        <v>2-6</v>
      </c>
      <c r="G80" s="19" t="str">
        <f ca="1"/>
        <v/>
      </c>
      <c r="H80" s="20">
        <f t="shared" ca="1" si="36"/>
        <v>9</v>
      </c>
      <c r="I80" s="20">
        <f t="shared" ca="1" si="27"/>
        <v>7</v>
      </c>
      <c r="J80" s="20" cm="1">
        <f t="array" aca="1" ref="J80" ca="1">IF(I80="","",IF(I80&lt;&gt;I79,1,IF(J79=misLíneas-2,0,J79+1)))</f>
        <v>6</v>
      </c>
      <c r="K80" s="20" t="str" cm="1">
        <f t="array" aca="1" ref="K80" ca="1">IF(OR(J80=0,J80=""),"",INDEX(misCriticidades,I80)&amp;"-"&amp;IFERROR(MATCH(J80,miOrdenTarjeta,0),0))</f>
        <v>1-6</v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7</v>
      </c>
      <c r="S80" s="20" t="str">
        <f t="shared" ca="1" si="29"/>
        <v/>
      </c>
      <c r="T80" s="20" t="str" cm="1">
        <f t="array" aca="1" ref="T80" ca="1">IF(S80="","",IF(S80&lt;&gt;S79,1,IF(T79=misLíneas-2,0,T79+1)))</f>
        <v/>
      </c>
      <c r="U80" s="20" t="str" cm="1">
        <f t="array" aca="1" ref="U80" ca="1">IF(OR(T80=0,T80=""),"",INDEX(misCriticidades,S80)&amp;"-"&amp;IFERROR(MATCH(T80,miOrdenTarjeta,0),0))</f>
        <v/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>
      <c r="B81" s="19" t="str">
        <f ca="1"/>
        <v/>
      </c>
      <c r="C81" s="20">
        <f t="shared" ca="1" si="45"/>
        <v>9</v>
      </c>
      <c r="D81" s="20">
        <f t="shared" ca="1" si="26"/>
        <v>29</v>
      </c>
      <c r="E81" s="20" cm="1">
        <f t="array" aca="1" ref="E81" ca="1">IF(D81="","",IF(D81&lt;&gt;D80,1,IF(E80=misLíneas-2,0,E80+1)))</f>
        <v>7</v>
      </c>
      <c r="F81" s="20" t="str" cm="1">
        <f t="array" aca="1" ref="F81" ca="1">IF(OR(E81=0,E81=""),"",INDEX(misCriticidades,D81)&amp;"-"&amp;IFERROR(MATCH(E81,miOrdenTarjeta,0),0))</f>
        <v>2-7</v>
      </c>
      <c r="G81" s="19" t="str">
        <f ca="1"/>
        <v/>
      </c>
      <c r="H81" s="20">
        <f t="shared" ca="1" si="36"/>
        <v>9</v>
      </c>
      <c r="I81" s="20">
        <f t="shared" ca="1" si="27"/>
        <v>7</v>
      </c>
      <c r="J81" s="20" cm="1">
        <f t="array" aca="1" ref="J81" ca="1">IF(I81="","",IF(I81&lt;&gt;I80,1,IF(J80=misLíneas-2,0,J80+1)))</f>
        <v>7</v>
      </c>
      <c r="K81" s="20" t="str" cm="1">
        <f t="array" aca="1" ref="K81" ca="1">IF(OR(J81=0,J81=""),"",INDEX(misCriticidades,I81)&amp;"-"&amp;IFERROR(MATCH(J81,miOrdenTarjeta,0),0))</f>
        <v>1-7</v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7</v>
      </c>
      <c r="S81" s="20" t="str">
        <f t="shared" ca="1" si="29"/>
        <v/>
      </c>
      <c r="T81" s="20" t="str" cm="1">
        <f t="array" aca="1" ref="T81" ca="1">IF(S81="","",IF(S81&lt;&gt;S80,1,IF(T80=misLíneas-2,0,T80+1)))</f>
        <v/>
      </c>
      <c r="U81" s="20" t="str" cm="1">
        <f t="array" aca="1" ref="U81" ca="1">IF(OR(T81=0,T81=""),"",INDEX(misCriticidades,S81)&amp;"-"&amp;IFERROR(MATCH(T81,miOrdenTarjeta,0),0))</f>
        <v/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>
      <c r="B82" s="19" t="str">
        <f ca="1"/>
        <v/>
      </c>
      <c r="C82" s="20">
        <f t="shared" ca="1" si="45"/>
        <v>9</v>
      </c>
      <c r="D82" s="20">
        <f t="shared" ca="1" si="26"/>
        <v>29</v>
      </c>
      <c r="E82" s="20" cm="1">
        <f t="array" aca="1" ref="E82" ca="1">IF(D82="","",IF(D82&lt;&gt;D81,1,IF(E81=misLíneas-2,0,E81+1)))</f>
        <v>8</v>
      </c>
      <c r="F82" s="20" t="str" cm="1">
        <f t="array" aca="1" ref="F82" ca="1">IF(OR(E82=0,E82=""),"",INDEX(misCriticidades,D82)&amp;"-"&amp;IFERROR(MATCH(E82,miOrdenTarjeta,0),0))</f>
        <v>2-8</v>
      </c>
      <c r="G82" s="19" t="str">
        <f ca="1"/>
        <v/>
      </c>
      <c r="H82" s="20">
        <f t="shared" ca="1" si="36"/>
        <v>9</v>
      </c>
      <c r="I82" s="20">
        <f t="shared" ca="1" si="27"/>
        <v>7</v>
      </c>
      <c r="J82" s="20" cm="1">
        <f t="array" aca="1" ref="J82" ca="1">IF(I82="","",IF(I82&lt;&gt;I81,1,IF(J81=misLíneas-2,0,J81+1)))</f>
        <v>8</v>
      </c>
      <c r="K82" s="20" t="str" cm="1">
        <f t="array" aca="1" ref="K82" ca="1">IF(OR(J82=0,J82=""),"",INDEX(misCriticidades,I82)&amp;"-"&amp;IFERROR(MATCH(J82,miOrdenTarjeta,0),0))</f>
        <v>1-8</v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7</v>
      </c>
      <c r="S82" s="20" t="str">
        <f t="shared" ca="1" si="29"/>
        <v/>
      </c>
      <c r="T82" s="20" t="str" cm="1">
        <f t="array" aca="1" ref="T82" ca="1">IF(S82="","",IF(S82&lt;&gt;S81,1,IF(T81=misLíneas-2,0,T81+1)))</f>
        <v/>
      </c>
      <c r="U82" s="20" t="str" cm="1">
        <f t="array" aca="1" ref="U82" ca="1">IF(OR(T82=0,T82=""),"",INDEX(misCriticidades,S82)&amp;"-"&amp;IFERROR(MATCH(T82,miOrdenTarjeta,0),0))</f>
        <v/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>
      <c r="B83" s="19" t="str">
        <f ca="1"/>
        <v/>
      </c>
      <c r="C83" s="20">
        <f t="shared" ca="1" si="45"/>
        <v>9</v>
      </c>
      <c r="D83" s="20">
        <f t="shared" ca="1" si="26"/>
        <v>29</v>
      </c>
      <c r="E83" s="20" cm="1">
        <f t="array" aca="1" ref="E83" ca="1">IF(D83="","",IF(D83&lt;&gt;D82,1,IF(E82=misLíneas-2,0,E82+1)))</f>
        <v>0</v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9</v>
      </c>
      <c r="I83" s="20">
        <f t="shared" ca="1" si="27"/>
        <v>7</v>
      </c>
      <c r="J83" s="20" cm="1">
        <f t="array" aca="1" ref="J83" ca="1">IF(I83="","",IF(I83&lt;&gt;I82,1,IF(J82=misLíneas-2,0,J82+1)))</f>
        <v>0</v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7</v>
      </c>
      <c r="S83" s="20" t="str">
        <f t="shared" ca="1" si="29"/>
        <v/>
      </c>
      <c r="T83" s="20" t="str" cm="1">
        <f t="array" aca="1" ref="T83" ca="1">IF(S83="","",IF(S83&lt;&gt;S82,1,IF(T82=misLíneas-2,0,T82+1)))</f>
        <v/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>
      <c r="B84" s="19" t="str">
        <f ca="1"/>
        <v/>
      </c>
      <c r="C84" s="20">
        <f t="shared" ca="1" si="45"/>
        <v>10</v>
      </c>
      <c r="D84" s="20">
        <f t="shared" ca="1" si="26"/>
        <v>28</v>
      </c>
      <c r="E84" s="20" cm="1">
        <f t="array" aca="1" ref="E84" ca="1">IF(D84="","",IF(D84&lt;&gt;D83,1,IF(E83=misLíneas-2,0,E83+1)))</f>
        <v>1</v>
      </c>
      <c r="F84" s="20" t="str" cm="1">
        <f t="array" aca="1" ref="F84" ca="1">IF(OR(E84=0,E84=""),"",INDEX(misCriticidades,D84)&amp;"-"&amp;IFERROR(MATCH(E84,miOrdenTarjeta,0),0))</f>
        <v>2-1</v>
      </c>
      <c r="G84" s="19" t="str">
        <f ca="1"/>
        <v/>
      </c>
      <c r="H84" s="20">
        <f t="shared" ca="1" si="36"/>
        <v>10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7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>
      <c r="B85" s="19" t="str">
        <f ca="1"/>
        <v/>
      </c>
      <c r="C85" s="20">
        <f t="shared" ca="1" si="45"/>
        <v>10</v>
      </c>
      <c r="D85" s="20">
        <f t="shared" ca="1" si="26"/>
        <v>28</v>
      </c>
      <c r="E85" s="20" cm="1">
        <f t="array" aca="1" ref="E85" ca="1">IF(D85="","",IF(D85&lt;&gt;D84,1,IF(E84=misLíneas-2,0,E84+1)))</f>
        <v>2</v>
      </c>
      <c r="F85" s="20" t="str" cm="1">
        <f t="array" aca="1" ref="F85" ca="1">IF(OR(E85=0,E85=""),"",INDEX(misCriticidades,D85)&amp;"-"&amp;IFERROR(MATCH(E85,miOrdenTarjeta,0),0))</f>
        <v>2-2</v>
      </c>
      <c r="G85" s="19">
        <f ca="1"/>
        <v>84</v>
      </c>
      <c r="H85" s="20">
        <f t="shared" ca="1" si="36"/>
        <v>10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7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>
      <c r="B86" s="19" t="str">
        <f ca="1"/>
        <v/>
      </c>
      <c r="C86" s="20">
        <f t="shared" ca="1" si="45"/>
        <v>10</v>
      </c>
      <c r="D86" s="20">
        <f t="shared" ca="1" si="26"/>
        <v>28</v>
      </c>
      <c r="E86" s="20" cm="1">
        <f t="array" aca="1" ref="E86" ca="1">IF(D86="","",IF(D86&lt;&gt;D85,1,IF(E85=misLíneas-2,0,E85+1)))</f>
        <v>3</v>
      </c>
      <c r="F86" s="20" t="str" cm="1">
        <f t="array" aca="1" ref="F86" ca="1">IF(OR(E86=0,E86=""),"",INDEX(misCriticidades,D86)&amp;"-"&amp;IFERROR(MATCH(E86,miOrdenTarjeta,0),0))</f>
        <v>2-3</v>
      </c>
      <c r="G86" s="19" t="str">
        <f ca="1"/>
        <v/>
      </c>
      <c r="H86" s="20">
        <f t="shared" ca="1" si="36"/>
        <v>10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7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>
      <c r="B87" s="19" t="str">
        <f ca="1"/>
        <v/>
      </c>
      <c r="C87" s="20">
        <f t="shared" ca="1" si="45"/>
        <v>10</v>
      </c>
      <c r="D87" s="20">
        <f t="shared" ca="1" si="26"/>
        <v>28</v>
      </c>
      <c r="E87" s="20" cm="1">
        <f t="array" aca="1" ref="E87" ca="1">IF(D87="","",IF(D87&lt;&gt;D86,1,IF(E86=misLíneas-2,0,E86+1)))</f>
        <v>4</v>
      </c>
      <c r="F87" s="20" t="str" cm="1">
        <f t="array" aca="1" ref="F87" ca="1">IF(OR(E87=0,E87=""),"",INDEX(misCriticidades,D87)&amp;"-"&amp;IFERROR(MATCH(E87,miOrdenTarjeta,0),0))</f>
        <v>2-4</v>
      </c>
      <c r="G87" s="19" t="str">
        <f ca="1"/>
        <v/>
      </c>
      <c r="H87" s="20">
        <f t="shared" ca="1" si="36"/>
        <v>10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7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>
      <c r="B88" s="19" t="str">
        <f ca="1"/>
        <v/>
      </c>
      <c r="C88" s="20">
        <f t="shared" ca="1" si="45"/>
        <v>10</v>
      </c>
      <c r="D88" s="20">
        <f t="shared" ca="1" si="26"/>
        <v>28</v>
      </c>
      <c r="E88" s="20" cm="1">
        <f t="array" aca="1" ref="E88" ca="1">IF(D88="","",IF(D88&lt;&gt;D87,1,IF(E87=misLíneas-2,0,E87+1)))</f>
        <v>5</v>
      </c>
      <c r="F88" s="20" t="str" cm="1">
        <f t="array" aca="1" ref="F88" ca="1">IF(OR(E88=0,E88=""),"",INDEX(misCriticidades,D88)&amp;"-"&amp;IFERROR(MATCH(E88,miOrdenTarjeta,0),0))</f>
        <v>2-5</v>
      </c>
      <c r="G88" s="19" t="str">
        <f ca="1"/>
        <v/>
      </c>
      <c r="H88" s="20">
        <f t="shared" ca="1" si="36"/>
        <v>10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7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>
      <c r="B89" s="19" t="str">
        <f ca="1"/>
        <v/>
      </c>
      <c r="C89" s="20">
        <f t="shared" ca="1" si="45"/>
        <v>10</v>
      </c>
      <c r="D89" s="20">
        <f t="shared" ca="1" si="26"/>
        <v>28</v>
      </c>
      <c r="E89" s="20" cm="1">
        <f t="array" aca="1" ref="E89" ca="1">IF(D89="","",IF(D89&lt;&gt;D88,1,IF(E88=misLíneas-2,0,E88+1)))</f>
        <v>6</v>
      </c>
      <c r="F89" s="20" t="str" cm="1">
        <f t="array" aca="1" ref="F89" ca="1">IF(OR(E89=0,E89=""),"",INDEX(misCriticidades,D89)&amp;"-"&amp;IFERROR(MATCH(E89,miOrdenTarjeta,0),0))</f>
        <v>2-6</v>
      </c>
      <c r="G89" s="19" t="str">
        <f ca="1"/>
        <v/>
      </c>
      <c r="H89" s="20">
        <f t="shared" ca="1" si="36"/>
        <v>10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7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>
      <c r="B90" s="19" t="str">
        <f ca="1"/>
        <v/>
      </c>
      <c r="C90" s="20">
        <f t="shared" ca="1" si="45"/>
        <v>10</v>
      </c>
      <c r="D90" s="20">
        <f t="shared" ca="1" si="26"/>
        <v>28</v>
      </c>
      <c r="E90" s="20" cm="1">
        <f t="array" aca="1" ref="E90" ca="1">IF(D90="","",IF(D90&lt;&gt;D89,1,IF(E89=misLíneas-2,0,E89+1)))</f>
        <v>7</v>
      </c>
      <c r="F90" s="20" t="str" cm="1">
        <f t="array" aca="1" ref="F90" ca="1">IF(OR(E90=0,E90=""),"",INDEX(misCriticidades,D90)&amp;"-"&amp;IFERROR(MATCH(E90,miOrdenTarjeta,0),0))</f>
        <v>2-7</v>
      </c>
      <c r="G90" s="19" t="str">
        <f ca="1"/>
        <v/>
      </c>
      <c r="H90" s="20">
        <f t="shared" ca="1" si="36"/>
        <v>10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7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>
      <c r="B91" s="19" t="str">
        <f ca="1"/>
        <v/>
      </c>
      <c r="C91" s="20">
        <f t="shared" ca="1" si="45"/>
        <v>10</v>
      </c>
      <c r="D91" s="20">
        <f t="shared" ca="1" si="26"/>
        <v>28</v>
      </c>
      <c r="E91" s="20" cm="1">
        <f t="array" aca="1" ref="E91" ca="1">IF(D91="","",IF(D91&lt;&gt;D90,1,IF(E90=misLíneas-2,0,E90+1)))</f>
        <v>8</v>
      </c>
      <c r="F91" s="20" t="str" cm="1">
        <f t="array" aca="1" ref="F91" ca="1">IF(OR(E91=0,E91=""),"",INDEX(misCriticidades,D91)&amp;"-"&amp;IFERROR(MATCH(E91,miOrdenTarjeta,0),0))</f>
        <v>2-8</v>
      </c>
      <c r="G91" s="19" t="str">
        <f ca="1"/>
        <v/>
      </c>
      <c r="H91" s="20">
        <f t="shared" ca="1" si="36"/>
        <v>10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7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>
      <c r="B92" s="19" t="str">
        <f ca="1"/>
        <v/>
      </c>
      <c r="C92" s="20">
        <f t="shared" ca="1" si="45"/>
        <v>10</v>
      </c>
      <c r="D92" s="20">
        <f t="shared" ca="1" si="26"/>
        <v>28</v>
      </c>
      <c r="E92" s="20" cm="1">
        <f t="array" aca="1" ref="E92" ca="1">IF(D92="","",IF(D92&lt;&gt;D91,1,IF(E91=misLíneas-2,0,E91+1)))</f>
        <v>0</v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10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7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>
      <c r="B93" s="19" t="str">
        <f ca="1"/>
        <v/>
      </c>
      <c r="C93" s="20">
        <f t="shared" ca="1" si="45"/>
        <v>11</v>
      </c>
      <c r="D93" s="20">
        <f t="shared" ca="1" si="26"/>
        <v>27</v>
      </c>
      <c r="E93" s="20" cm="1">
        <f t="array" aca="1" ref="E93" ca="1">IF(D93="","",IF(D93&lt;&gt;D92,1,IF(E92=misLíneas-2,0,E92+1)))</f>
        <v>1</v>
      </c>
      <c r="F93" s="20" t="str" cm="1">
        <f t="array" aca="1" ref="F93" ca="1">IF(OR(E93=0,E93=""),"",INDEX(misCriticidades,D93)&amp;"-"&amp;IFERROR(MATCH(E93,miOrdenTarjeta,0),0))</f>
        <v>2-1</v>
      </c>
      <c r="G93" s="19" t="str">
        <f ca="1"/>
        <v/>
      </c>
      <c r="H93" s="20">
        <f t="shared" ca="1" si="36"/>
        <v>10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7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>
      <c r="B94" s="19" t="str">
        <f ca="1"/>
        <v/>
      </c>
      <c r="C94" s="20">
        <f t="shared" ca="1" si="45"/>
        <v>11</v>
      </c>
      <c r="D94" s="20">
        <f t="shared" ca="1" si="26"/>
        <v>27</v>
      </c>
      <c r="E94" s="20" cm="1">
        <f t="array" aca="1" ref="E94" ca="1">IF(D94="","",IF(D94&lt;&gt;D93,1,IF(E93=misLíneas-2,0,E93+1)))</f>
        <v>2</v>
      </c>
      <c r="F94" s="20" t="str" cm="1">
        <f t="array" aca="1" ref="F94" ca="1">IF(OR(E94=0,E94=""),"",INDEX(misCriticidades,D94)&amp;"-"&amp;IFERROR(MATCH(E94,miOrdenTarjeta,0),0))</f>
        <v>2-2</v>
      </c>
      <c r="G94" s="19" t="str">
        <f ca="1"/>
        <v/>
      </c>
      <c r="H94" s="20">
        <f t="shared" ca="1" si="36"/>
        <v>10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7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>
      <c r="B95" s="19" t="str">
        <f ca="1"/>
        <v/>
      </c>
      <c r="C95" s="20">
        <f t="shared" ca="1" si="45"/>
        <v>11</v>
      </c>
      <c r="D95" s="20">
        <f t="shared" ca="1" si="26"/>
        <v>27</v>
      </c>
      <c r="E95" s="20" cm="1">
        <f t="array" aca="1" ref="E95" ca="1">IF(D95="","",IF(D95&lt;&gt;D94,1,IF(E94=misLíneas-2,0,E94+1)))</f>
        <v>3</v>
      </c>
      <c r="F95" s="20" t="str" cm="1">
        <f t="array" aca="1" ref="F95" ca="1">IF(OR(E95=0,E95=""),"",INDEX(misCriticidades,D95)&amp;"-"&amp;IFERROR(MATCH(E95,miOrdenTarjeta,0),0))</f>
        <v>2-3</v>
      </c>
      <c r="G95" s="19" t="str">
        <f ca="1"/>
        <v/>
      </c>
      <c r="H95" s="20">
        <f t="shared" ca="1" si="36"/>
        <v>10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7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>
      <c r="B96" s="19" t="str">
        <f ca="1"/>
        <v/>
      </c>
      <c r="C96" s="20">
        <f t="shared" ca="1" si="45"/>
        <v>11</v>
      </c>
      <c r="D96" s="20">
        <f t="shared" ca="1" si="26"/>
        <v>27</v>
      </c>
      <c r="E96" s="20" cm="1">
        <f t="array" aca="1" ref="E96" ca="1">IF(D96="","",IF(D96&lt;&gt;D95,1,IF(E95=misLíneas-2,0,E95+1)))</f>
        <v>4</v>
      </c>
      <c r="F96" s="20" t="str" cm="1">
        <f t="array" aca="1" ref="F96" ca="1">IF(OR(E96=0,E96=""),"",INDEX(misCriticidades,D96)&amp;"-"&amp;IFERROR(MATCH(E96,miOrdenTarjeta,0),0))</f>
        <v>2-4</v>
      </c>
      <c r="G96" s="19" t="str">
        <f ca="1"/>
        <v/>
      </c>
      <c r="H96" s="20">
        <f t="shared" ca="1" si="36"/>
        <v>10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7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>
      <c r="B97" s="19" t="str">
        <f ca="1"/>
        <v/>
      </c>
      <c r="C97" s="20">
        <f t="shared" ca="1" si="45"/>
        <v>11</v>
      </c>
      <c r="D97" s="20">
        <f t="shared" ca="1" si="26"/>
        <v>27</v>
      </c>
      <c r="E97" s="20" cm="1">
        <f t="array" aca="1" ref="E97" ca="1">IF(D97="","",IF(D97&lt;&gt;D96,1,IF(E96=misLíneas-2,0,E96+1)))</f>
        <v>5</v>
      </c>
      <c r="F97" s="20" t="str" cm="1">
        <f t="array" aca="1" ref="F97" ca="1">IF(OR(E97=0,E97=""),"",INDEX(misCriticidades,D97)&amp;"-"&amp;IFERROR(MATCH(E97,miOrdenTarjeta,0),0))</f>
        <v>2-5</v>
      </c>
      <c r="G97" s="19" t="str">
        <f ca="1"/>
        <v/>
      </c>
      <c r="H97" s="20">
        <f t="shared" ca="1" si="36"/>
        <v>10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7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>
      <c r="B98" s="19" t="str">
        <f ca="1"/>
        <v/>
      </c>
      <c r="C98" s="20">
        <f t="shared" ca="1" si="45"/>
        <v>11</v>
      </c>
      <c r="D98" s="20">
        <f t="shared" ca="1" si="26"/>
        <v>27</v>
      </c>
      <c r="E98" s="20" cm="1">
        <f t="array" aca="1" ref="E98" ca="1">IF(D98="","",IF(D98&lt;&gt;D97,1,IF(E97=misLíneas-2,0,E97+1)))</f>
        <v>6</v>
      </c>
      <c r="F98" s="20" t="str" cm="1">
        <f t="array" aca="1" ref="F98" ca="1">IF(OR(E98=0,E98=""),"",INDEX(misCriticidades,D98)&amp;"-"&amp;IFERROR(MATCH(E98,miOrdenTarjeta,0),0))</f>
        <v>2-6</v>
      </c>
      <c r="G98" s="19" t="str">
        <f ca="1"/>
        <v/>
      </c>
      <c r="H98" s="20">
        <f t="shared" ca="1" si="36"/>
        <v>10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7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>
      <c r="B99" s="19" t="str">
        <f ca="1"/>
        <v/>
      </c>
      <c r="C99" s="20">
        <f t="shared" ca="1" si="45"/>
        <v>11</v>
      </c>
      <c r="D99" s="20">
        <f t="shared" ref="D99:D130" ca="1" si="46">IF(C99&gt;C98,IFERROR(IF(F$1="v",SMALL(B$2:B$101,C99),LARGE(B$2:B$101,C99)),""),D98)</f>
        <v>27</v>
      </c>
      <c r="E99" s="20" cm="1">
        <f t="array" aca="1" ref="E99" ca="1">IF(D99="","",IF(D99&lt;&gt;D98,1,IF(E98=misLíneas-2,0,E98+1)))</f>
        <v>7</v>
      </c>
      <c r="F99" s="20" t="str" cm="1">
        <f t="array" aca="1" ref="F99" ca="1">IF(OR(E99=0,E99=""),"",INDEX(misCriticidades,D99)&amp;"-"&amp;IFERROR(MATCH(E99,miOrdenTarjeta,0),0))</f>
        <v>2-7</v>
      </c>
      <c r="G99" s="19" t="str">
        <f ca="1"/>
        <v/>
      </c>
      <c r="H99" s="20">
        <f t="shared" ca="1" si="36"/>
        <v>10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7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>
      <c r="B100" s="19" t="str">
        <f ca="1"/>
        <v/>
      </c>
      <c r="C100" s="20">
        <f t="shared" ca="1" si="45"/>
        <v>11</v>
      </c>
      <c r="D100" s="20">
        <f t="shared" ca="1" si="46"/>
        <v>27</v>
      </c>
      <c r="E100" s="20" cm="1">
        <f t="array" aca="1" ref="E100" ca="1">IF(D100="","",IF(D100&lt;&gt;D99,1,IF(E99=misLíneas-2,0,E99+1)))</f>
        <v>8</v>
      </c>
      <c r="F100" s="20" t="str" cm="1">
        <f t="array" aca="1" ref="F100" ca="1">IF(OR(E100=0,E100=""),"",INDEX(misCriticidades,D100)&amp;"-"&amp;IFERROR(MATCH(E100,miOrdenTarjeta,0),0))</f>
        <v>2-8</v>
      </c>
      <c r="G100" s="19" t="str">
        <f ca="1"/>
        <v/>
      </c>
      <c r="H100" s="20">
        <f t="shared" ca="1" si="36"/>
        <v>10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7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>
      <c r="B101" s="19" t="str">
        <f ca="1"/>
        <v/>
      </c>
      <c r="C101" s="20">
        <f t="shared" ca="1" si="45"/>
        <v>11</v>
      </c>
      <c r="D101" s="20">
        <f t="shared" ca="1" si="46"/>
        <v>27</v>
      </c>
      <c r="E101" s="20" cm="1">
        <f t="array" aca="1" ref="E101" ca="1">IF(D101="","",IF(D101&lt;&gt;D100,1,IF(E100=misLíneas-2,0,E100+1)))</f>
        <v>0</v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10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7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>
      <c r="C102" s="20">
        <f t="shared" ca="1" si="45"/>
        <v>12</v>
      </c>
      <c r="D102" s="20">
        <f t="shared" ca="1" si="46"/>
        <v>26</v>
      </c>
      <c r="E102" s="20" cm="1">
        <f t="array" aca="1" ref="E102" ca="1">IF(D102="","",IF(D102&lt;&gt;D101,1,IF(E101=misLíneas-2,0,E101+1)))</f>
        <v>1</v>
      </c>
      <c r="F102" s="20" t="str" cm="1">
        <f t="array" aca="1" ref="F102" ca="1">IF(OR(E102=0,E102=""),"",INDEX(misCriticidades,D102)&amp;"-"&amp;IFERROR(MATCH(E102,miOrdenTarjeta,0),0))</f>
        <v>2-1</v>
      </c>
      <c r="H102" s="20">
        <f t="shared" ca="1" si="36"/>
        <v>10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7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>
      <c r="C103" s="20">
        <f t="shared" ca="1" si="45"/>
        <v>12</v>
      </c>
      <c r="D103" s="20">
        <f t="shared" ca="1" si="46"/>
        <v>26</v>
      </c>
      <c r="E103" s="20" cm="1">
        <f t="array" aca="1" ref="E103" ca="1">IF(D103="","",IF(D103&lt;&gt;D102,1,IF(E102=misLíneas-2,0,E102+1)))</f>
        <v>2</v>
      </c>
      <c r="F103" s="20" t="str" cm="1">
        <f t="array" aca="1" ref="F103" ca="1">IF(OR(E103=0,E103=""),"",INDEX(misCriticidades,D103)&amp;"-"&amp;IFERROR(MATCH(E103,miOrdenTarjeta,0),0))</f>
        <v>2-2</v>
      </c>
      <c r="H103" s="20">
        <f t="shared" ca="1" si="36"/>
        <v>10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7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>
      <c r="C104" s="20">
        <f t="shared" ca="1" si="45"/>
        <v>12</v>
      </c>
      <c r="D104" s="20">
        <f t="shared" ca="1" si="46"/>
        <v>26</v>
      </c>
      <c r="E104" s="20" cm="1">
        <f t="array" aca="1" ref="E104" ca="1">IF(D104="","",IF(D104&lt;&gt;D103,1,IF(E103=misLíneas-2,0,E103+1)))</f>
        <v>3</v>
      </c>
      <c r="F104" s="20" t="str" cm="1">
        <f t="array" aca="1" ref="F104" ca="1">IF(OR(E104=0,E104=""),"",INDEX(misCriticidades,D104)&amp;"-"&amp;IFERROR(MATCH(E104,miOrdenTarjeta,0),0))</f>
        <v>2-3</v>
      </c>
      <c r="H104" s="20">
        <f t="shared" ca="1" si="36"/>
        <v>10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7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>
      <c r="C105" s="20">
        <f t="shared" ca="1" si="45"/>
        <v>12</v>
      </c>
      <c r="D105" s="20">
        <f t="shared" ca="1" si="46"/>
        <v>26</v>
      </c>
      <c r="E105" s="20" cm="1">
        <f t="array" aca="1" ref="E105" ca="1">IF(D105="","",IF(D105&lt;&gt;D104,1,IF(E104=misLíneas-2,0,E104+1)))</f>
        <v>4</v>
      </c>
      <c r="F105" s="20" t="str" cm="1">
        <f t="array" aca="1" ref="F105" ca="1">IF(OR(E105=0,E105=""),"",INDEX(misCriticidades,D105)&amp;"-"&amp;IFERROR(MATCH(E105,miOrdenTarjeta,0),0))</f>
        <v>2-4</v>
      </c>
      <c r="H105" s="20">
        <f t="shared" ca="1" si="36"/>
        <v>10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7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>
      <c r="C106" s="20">
        <f t="shared" ca="1" si="45"/>
        <v>12</v>
      </c>
      <c r="D106" s="20">
        <f t="shared" ca="1" si="46"/>
        <v>26</v>
      </c>
      <c r="E106" s="20" cm="1">
        <f t="array" aca="1" ref="E106" ca="1">IF(D106="","",IF(D106&lt;&gt;D105,1,IF(E105=misLíneas-2,0,E105+1)))</f>
        <v>5</v>
      </c>
      <c r="F106" s="20" t="str" cm="1">
        <f t="array" aca="1" ref="F106" ca="1">IF(OR(E106=0,E106=""),"",INDEX(misCriticidades,D106)&amp;"-"&amp;IFERROR(MATCH(E106,miOrdenTarjeta,0),0))</f>
        <v>2-5</v>
      </c>
      <c r="H106" s="20">
        <f t="shared" ca="1" si="36"/>
        <v>10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7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>
      <c r="C107" s="20">
        <f t="shared" ca="1" si="45"/>
        <v>12</v>
      </c>
      <c r="D107" s="20">
        <f t="shared" ca="1" si="46"/>
        <v>26</v>
      </c>
      <c r="E107" s="20" cm="1">
        <f t="array" aca="1" ref="E107" ca="1">IF(D107="","",IF(D107&lt;&gt;D106,1,IF(E106=misLíneas-2,0,E106+1)))</f>
        <v>6</v>
      </c>
      <c r="F107" s="20" t="str" cm="1">
        <f t="array" aca="1" ref="F107" ca="1">IF(OR(E107=0,E107=""),"",INDEX(misCriticidades,D107)&amp;"-"&amp;IFERROR(MATCH(E107,miOrdenTarjeta,0),0))</f>
        <v>2-6</v>
      </c>
      <c r="H107" s="20">
        <f t="shared" ca="1" si="36"/>
        <v>10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7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>
      <c r="C108" s="20">
        <f t="shared" ca="1" si="45"/>
        <v>12</v>
      </c>
      <c r="D108" s="20">
        <f t="shared" ca="1" si="46"/>
        <v>26</v>
      </c>
      <c r="E108" s="20" cm="1">
        <f t="array" aca="1" ref="E108" ca="1">IF(D108="","",IF(D108&lt;&gt;D107,1,IF(E107=misLíneas-2,0,E107+1)))</f>
        <v>7</v>
      </c>
      <c r="F108" s="20" t="str" cm="1">
        <f t="array" aca="1" ref="F108" ca="1">IF(OR(E108=0,E108=""),"",INDEX(misCriticidades,D108)&amp;"-"&amp;IFERROR(MATCH(E108,miOrdenTarjeta,0),0))</f>
        <v>2-7</v>
      </c>
      <c r="H108" s="20">
        <f t="shared" ca="1" si="36"/>
        <v>10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7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>
      <c r="C109" s="20">
        <f t="shared" ca="1" si="45"/>
        <v>12</v>
      </c>
      <c r="D109" s="20">
        <f t="shared" ca="1" si="46"/>
        <v>26</v>
      </c>
      <c r="E109" s="20" cm="1">
        <f t="array" aca="1" ref="E109" ca="1">IF(D109="","",IF(D109&lt;&gt;D108,1,IF(E108=misLíneas-2,0,E108+1)))</f>
        <v>8</v>
      </c>
      <c r="F109" s="20" t="str" cm="1">
        <f t="array" aca="1" ref="F109" ca="1">IF(OR(E109=0,E109=""),"",INDEX(misCriticidades,D109)&amp;"-"&amp;IFERROR(MATCH(E109,miOrdenTarjeta,0),0))</f>
        <v>2-8</v>
      </c>
      <c r="H109" s="20">
        <f t="shared" ca="1" si="36"/>
        <v>10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7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>
      <c r="C110" s="20">
        <f t="shared" ca="1" si="45"/>
        <v>12</v>
      </c>
      <c r="D110" s="20">
        <f t="shared" ca="1" si="46"/>
        <v>26</v>
      </c>
      <c r="E110" s="20" cm="1">
        <f t="array" aca="1" ref="E110" ca="1">IF(D110="","",IF(D110&lt;&gt;D109,1,IF(E109=misLíneas-2,0,E109+1)))</f>
        <v>0</v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10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7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>
      <c r="C111" s="20">
        <f t="shared" ca="1" si="45"/>
        <v>13</v>
      </c>
      <c r="D111" s="20">
        <f t="shared" ca="1" si="46"/>
        <v>25</v>
      </c>
      <c r="E111" s="20" cm="1">
        <f t="array" aca="1" ref="E111" ca="1">IF(D111="","",IF(D111&lt;&gt;D110,1,IF(E110=misLíneas-2,0,E110+1)))</f>
        <v>1</v>
      </c>
      <c r="F111" s="20" t="str" cm="1">
        <f t="array" aca="1" ref="F111" ca="1">IF(OR(E111=0,E111=""),"",INDEX(misCriticidades,D111)&amp;"-"&amp;IFERROR(MATCH(E111,miOrdenTarjeta,0),0))</f>
        <v>2-1</v>
      </c>
      <c r="H111" s="20">
        <f t="shared" ca="1" si="36"/>
        <v>10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7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>
      <c r="C112" s="20">
        <f t="shared" ca="1" si="45"/>
        <v>13</v>
      </c>
      <c r="D112" s="20">
        <f t="shared" ca="1" si="46"/>
        <v>25</v>
      </c>
      <c r="E112" s="20" cm="1">
        <f t="array" aca="1" ref="E112" ca="1">IF(D112="","",IF(D112&lt;&gt;D111,1,IF(E111=misLíneas-2,0,E111+1)))</f>
        <v>2</v>
      </c>
      <c r="F112" s="20" t="str" cm="1">
        <f t="array" aca="1" ref="F112" ca="1">IF(OR(E112=0,E112=""),"",INDEX(misCriticidades,D112)&amp;"-"&amp;IFERROR(MATCH(E112,miOrdenTarjeta,0),0))</f>
        <v>2-2</v>
      </c>
      <c r="H112" s="20">
        <f t="shared" ca="1" si="36"/>
        <v>10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7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>
      <c r="C113" s="20">
        <f t="shared" ca="1" si="45"/>
        <v>13</v>
      </c>
      <c r="D113" s="20">
        <f t="shared" ca="1" si="46"/>
        <v>25</v>
      </c>
      <c r="E113" s="20" cm="1">
        <f t="array" aca="1" ref="E113" ca="1">IF(D113="","",IF(D113&lt;&gt;D112,1,IF(E112=misLíneas-2,0,E112+1)))</f>
        <v>3</v>
      </c>
      <c r="F113" s="20" t="str" cm="1">
        <f t="array" aca="1" ref="F113" ca="1">IF(OR(E113=0,E113=""),"",INDEX(misCriticidades,D113)&amp;"-"&amp;IFERROR(MATCH(E113,miOrdenTarjeta,0),0))</f>
        <v>2-3</v>
      </c>
      <c r="H113" s="20">
        <f t="shared" ca="1" si="36"/>
        <v>10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7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>
      <c r="C114" s="20">
        <f t="shared" ca="1" si="45"/>
        <v>13</v>
      </c>
      <c r="D114" s="20">
        <f t="shared" ca="1" si="46"/>
        <v>25</v>
      </c>
      <c r="E114" s="20" cm="1">
        <f t="array" aca="1" ref="E114" ca="1">IF(D114="","",IF(D114&lt;&gt;D113,1,IF(E113=misLíneas-2,0,E113+1)))</f>
        <v>4</v>
      </c>
      <c r="F114" s="20" t="str" cm="1">
        <f t="array" aca="1" ref="F114" ca="1">IF(OR(E114=0,E114=""),"",INDEX(misCriticidades,D114)&amp;"-"&amp;IFERROR(MATCH(E114,miOrdenTarjeta,0),0))</f>
        <v>2-4</v>
      </c>
      <c r="H114" s="20">
        <f t="shared" ca="1" si="36"/>
        <v>10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7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>
      <c r="C115" s="20">
        <f t="shared" ca="1" si="45"/>
        <v>13</v>
      </c>
      <c r="D115" s="20">
        <f t="shared" ca="1" si="46"/>
        <v>25</v>
      </c>
      <c r="E115" s="20" cm="1">
        <f t="array" aca="1" ref="E115" ca="1">IF(D115="","",IF(D115&lt;&gt;D114,1,IF(E114=misLíneas-2,0,E114+1)))</f>
        <v>5</v>
      </c>
      <c r="F115" s="20" t="str" cm="1">
        <f t="array" aca="1" ref="F115" ca="1">IF(OR(E115=0,E115=""),"",INDEX(misCriticidades,D115)&amp;"-"&amp;IFERROR(MATCH(E115,miOrdenTarjeta,0),0))</f>
        <v>2-5</v>
      </c>
      <c r="H115" s="20">
        <f t="shared" ca="1" si="36"/>
        <v>10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7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>
      <c r="C116" s="20">
        <f t="shared" ca="1" si="45"/>
        <v>13</v>
      </c>
      <c r="D116" s="20">
        <f t="shared" ca="1" si="46"/>
        <v>25</v>
      </c>
      <c r="E116" s="20" cm="1">
        <f t="array" aca="1" ref="E116" ca="1">IF(D116="","",IF(D116&lt;&gt;D115,1,IF(E115=misLíneas-2,0,E115+1)))</f>
        <v>6</v>
      </c>
      <c r="F116" s="20" t="str" cm="1">
        <f t="array" aca="1" ref="F116" ca="1">IF(OR(E116=0,E116=""),"",INDEX(misCriticidades,D116)&amp;"-"&amp;IFERROR(MATCH(E116,miOrdenTarjeta,0),0))</f>
        <v>2-6</v>
      </c>
      <c r="H116" s="20">
        <f t="shared" ca="1" si="36"/>
        <v>10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7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>
      <c r="C117" s="20">
        <f t="shared" ca="1" si="45"/>
        <v>13</v>
      </c>
      <c r="D117" s="20">
        <f t="shared" ca="1" si="46"/>
        <v>25</v>
      </c>
      <c r="E117" s="20" cm="1">
        <f t="array" aca="1" ref="E117" ca="1">IF(D117="","",IF(D117&lt;&gt;D116,1,IF(E116=misLíneas-2,0,E116+1)))</f>
        <v>7</v>
      </c>
      <c r="F117" s="20" t="str" cm="1">
        <f t="array" aca="1" ref="F117" ca="1">IF(OR(E117=0,E117=""),"",INDEX(misCriticidades,D117)&amp;"-"&amp;IFERROR(MATCH(E117,miOrdenTarjeta,0),0))</f>
        <v>2-7</v>
      </c>
      <c r="H117" s="20">
        <f t="shared" ca="1" si="36"/>
        <v>10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7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>
      <c r="C118" s="20">
        <f t="shared" ca="1" si="45"/>
        <v>13</v>
      </c>
      <c r="D118" s="20">
        <f t="shared" ca="1" si="46"/>
        <v>25</v>
      </c>
      <c r="E118" s="20" cm="1">
        <f t="array" aca="1" ref="E118" ca="1">IF(D118="","",IF(D118&lt;&gt;D117,1,IF(E117=misLíneas-2,0,E117+1)))</f>
        <v>8</v>
      </c>
      <c r="F118" s="20" t="str" cm="1">
        <f t="array" aca="1" ref="F118" ca="1">IF(OR(E118=0,E118=""),"",INDEX(misCriticidades,D118)&amp;"-"&amp;IFERROR(MATCH(E118,miOrdenTarjeta,0),0))</f>
        <v>2-8</v>
      </c>
      <c r="H118" s="20">
        <f t="shared" ca="1" si="36"/>
        <v>10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7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>
      <c r="C119" s="20">
        <f t="shared" ca="1" si="45"/>
        <v>13</v>
      </c>
      <c r="D119" s="20">
        <f t="shared" ca="1" si="46"/>
        <v>25</v>
      </c>
      <c r="E119" s="20" cm="1">
        <f t="array" aca="1" ref="E119" ca="1">IF(D119="","",IF(D119&lt;&gt;D118,1,IF(E118=misLíneas-2,0,E118+1)))</f>
        <v>0</v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10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7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>
      <c r="C120" s="20">
        <f t="shared" ca="1" si="45"/>
        <v>14</v>
      </c>
      <c r="D120" s="20">
        <f t="shared" ca="1" si="46"/>
        <v>24</v>
      </c>
      <c r="E120" s="20" cm="1">
        <f t="array" aca="1" ref="E120" ca="1">IF(D120="","",IF(D120&lt;&gt;D119,1,IF(E119=misLíneas-2,0,E119+1)))</f>
        <v>1</v>
      </c>
      <c r="F120" s="20" t="str" cm="1">
        <f t="array" aca="1" ref="F120" ca="1">IF(OR(E120=0,E120=""),"",INDEX(misCriticidades,D120)&amp;"-"&amp;IFERROR(MATCH(E120,miOrdenTarjeta,0),0))</f>
        <v>2-1</v>
      </c>
      <c r="H120" s="20">
        <f t="shared" ca="1" si="36"/>
        <v>10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7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>
      <c r="C121" s="20">
        <f t="shared" ca="1" si="45"/>
        <v>14</v>
      </c>
      <c r="D121" s="20">
        <f t="shared" ca="1" si="46"/>
        <v>24</v>
      </c>
      <c r="E121" s="20" cm="1">
        <f t="array" aca="1" ref="E121" ca="1">IF(D121="","",IF(D121&lt;&gt;D120,1,IF(E120=misLíneas-2,0,E120+1)))</f>
        <v>2</v>
      </c>
      <c r="F121" s="20" t="str" cm="1">
        <f t="array" aca="1" ref="F121" ca="1">IF(OR(E121=0,E121=""),"",INDEX(misCriticidades,D121)&amp;"-"&amp;IFERROR(MATCH(E121,miOrdenTarjeta,0),0))</f>
        <v>2-2</v>
      </c>
      <c r="H121" s="20">
        <f t="shared" ca="1" si="36"/>
        <v>10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7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>
      <c r="C122" s="20">
        <f t="shared" ca="1" si="45"/>
        <v>14</v>
      </c>
      <c r="D122" s="20">
        <f t="shared" ca="1" si="46"/>
        <v>24</v>
      </c>
      <c r="E122" s="20" cm="1">
        <f t="array" aca="1" ref="E122" ca="1">IF(D122="","",IF(D122&lt;&gt;D121,1,IF(E121=misLíneas-2,0,E121+1)))</f>
        <v>3</v>
      </c>
      <c r="F122" s="20" t="str" cm="1">
        <f t="array" aca="1" ref="F122" ca="1">IF(OR(E122=0,E122=""),"",INDEX(misCriticidades,D122)&amp;"-"&amp;IFERROR(MATCH(E122,miOrdenTarjeta,0),0))</f>
        <v>2-3</v>
      </c>
      <c r="H122" s="20">
        <f t="shared" ca="1" si="36"/>
        <v>10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7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>
      <c r="C123" s="20">
        <f t="shared" ca="1" si="45"/>
        <v>14</v>
      </c>
      <c r="D123" s="20">
        <f t="shared" ca="1" si="46"/>
        <v>24</v>
      </c>
      <c r="E123" s="20" cm="1">
        <f t="array" aca="1" ref="E123" ca="1">IF(D123="","",IF(D123&lt;&gt;D122,1,IF(E122=misLíneas-2,0,E122+1)))</f>
        <v>4</v>
      </c>
      <c r="F123" s="20" t="str" cm="1">
        <f t="array" aca="1" ref="F123" ca="1">IF(OR(E123=0,E123=""),"",INDEX(misCriticidades,D123)&amp;"-"&amp;IFERROR(MATCH(E123,miOrdenTarjeta,0),0))</f>
        <v>2-4</v>
      </c>
      <c r="H123" s="20">
        <f t="shared" ca="1" si="36"/>
        <v>10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7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>
      <c r="C124" s="20">
        <f t="shared" ca="1" si="45"/>
        <v>14</v>
      </c>
      <c r="D124" s="20">
        <f t="shared" ca="1" si="46"/>
        <v>24</v>
      </c>
      <c r="E124" s="20" cm="1">
        <f t="array" aca="1" ref="E124" ca="1">IF(D124="","",IF(D124&lt;&gt;D123,1,IF(E123=misLíneas-2,0,E123+1)))</f>
        <v>5</v>
      </c>
      <c r="F124" s="20" t="str" cm="1">
        <f t="array" aca="1" ref="F124" ca="1">IF(OR(E124=0,E124=""),"",INDEX(misCriticidades,D124)&amp;"-"&amp;IFERROR(MATCH(E124,miOrdenTarjeta,0),0))</f>
        <v>2-5</v>
      </c>
      <c r="H124" s="20">
        <f t="shared" ca="1" si="36"/>
        <v>10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7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>
      <c r="C125" s="20">
        <f t="shared" ca="1" si="45"/>
        <v>14</v>
      </c>
      <c r="D125" s="20">
        <f t="shared" ca="1" si="46"/>
        <v>24</v>
      </c>
      <c r="E125" s="20" cm="1">
        <f t="array" aca="1" ref="E125" ca="1">IF(D125="","",IF(D125&lt;&gt;D124,1,IF(E124=misLíneas-2,0,E124+1)))</f>
        <v>6</v>
      </c>
      <c r="F125" s="20" t="str" cm="1">
        <f t="array" aca="1" ref="F125" ca="1">IF(OR(E125=0,E125=""),"",INDEX(misCriticidades,D125)&amp;"-"&amp;IFERROR(MATCH(E125,miOrdenTarjeta,0),0))</f>
        <v>2-6</v>
      </c>
      <c r="H125" s="20">
        <f t="shared" ca="1" si="36"/>
        <v>10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7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>
      <c r="C126" s="20">
        <f t="shared" ca="1" si="45"/>
        <v>14</v>
      </c>
      <c r="D126" s="20">
        <f t="shared" ca="1" si="46"/>
        <v>24</v>
      </c>
      <c r="E126" s="20" cm="1">
        <f t="array" aca="1" ref="E126" ca="1">IF(D126="","",IF(D126&lt;&gt;D125,1,IF(E125=misLíneas-2,0,E125+1)))</f>
        <v>7</v>
      </c>
      <c r="F126" s="20" t="str" cm="1">
        <f t="array" aca="1" ref="F126" ca="1">IF(OR(E126=0,E126=""),"",INDEX(misCriticidades,D126)&amp;"-"&amp;IFERROR(MATCH(E126,miOrdenTarjeta,0),0))</f>
        <v>2-7</v>
      </c>
      <c r="H126" s="20">
        <f t="shared" ca="1" si="36"/>
        <v>10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7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>
      <c r="C127" s="20">
        <f t="shared" ca="1" si="45"/>
        <v>14</v>
      </c>
      <c r="D127" s="20">
        <f t="shared" ca="1" si="46"/>
        <v>24</v>
      </c>
      <c r="E127" s="20" cm="1">
        <f t="array" aca="1" ref="E127" ca="1">IF(D127="","",IF(D127&lt;&gt;D126,1,IF(E126=misLíneas-2,0,E126+1)))</f>
        <v>8</v>
      </c>
      <c r="F127" s="20" t="str" cm="1">
        <f t="array" aca="1" ref="F127" ca="1">IF(OR(E127=0,E127=""),"",INDEX(misCriticidades,D127)&amp;"-"&amp;IFERROR(MATCH(E127,miOrdenTarjeta,0),0))</f>
        <v>2-8</v>
      </c>
      <c r="H127" s="20">
        <f t="shared" ca="1" si="36"/>
        <v>10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7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>
      <c r="C128" s="20">
        <f t="shared" ca="1" si="45"/>
        <v>14</v>
      </c>
      <c r="D128" s="20">
        <f t="shared" ca="1" si="46"/>
        <v>24</v>
      </c>
      <c r="E128" s="20" cm="1">
        <f t="array" aca="1" ref="E128" ca="1">IF(D128="","",IF(D128&lt;&gt;D127,1,IF(E127=misLíneas-2,0,E127+1)))</f>
        <v>0</v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10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7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>
      <c r="C129" s="20">
        <f t="shared" ca="1" si="45"/>
        <v>15</v>
      </c>
      <c r="D129" s="20">
        <f t="shared" ca="1" si="46"/>
        <v>23</v>
      </c>
      <c r="E129" s="20" cm="1">
        <f t="array" aca="1" ref="E129" ca="1">IF(D129="","",IF(D129&lt;&gt;D128,1,IF(E128=misLíneas-2,0,E128+1)))</f>
        <v>1</v>
      </c>
      <c r="F129" s="20" t="str" cm="1">
        <f t="array" aca="1" ref="F129" ca="1">IF(OR(E129=0,E129=""),"",INDEX(misCriticidades,D129)&amp;"-"&amp;IFERROR(MATCH(E129,miOrdenTarjeta,0),0))</f>
        <v>2-1</v>
      </c>
      <c r="H129" s="20">
        <f t="shared" ca="1" si="36"/>
        <v>10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7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>
      <c r="C130" s="20">
        <f t="shared" ca="1" si="45"/>
        <v>15</v>
      </c>
      <c r="D130" s="20">
        <f t="shared" ca="1" si="46"/>
        <v>23</v>
      </c>
      <c r="E130" s="20" cm="1">
        <f t="array" aca="1" ref="E130" ca="1">IF(D130="","",IF(D130&lt;&gt;D129,1,IF(E129=misLíneas-2,0,E129+1)))</f>
        <v>2</v>
      </c>
      <c r="F130" s="20" t="str" cm="1">
        <f t="array" aca="1" ref="F130" ca="1">IF(OR(E130=0,E130=""),"",INDEX(misCriticidades,D130)&amp;"-"&amp;IFERROR(MATCH(E130,miOrdenTarjeta,0),0))</f>
        <v>2-2</v>
      </c>
      <c r="H130" s="20">
        <f t="shared" ca="1" si="36"/>
        <v>10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7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>
      <c r="C131" s="20">
        <f t="shared" ca="1" si="45"/>
        <v>15</v>
      </c>
      <c r="D131" s="20">
        <f t="shared" ref="D131:D162" ca="1" si="51">IF(C131&gt;C130,IFERROR(IF(F$1="v",SMALL(B$2:B$101,C131),LARGE(B$2:B$101,C131)),""),D130)</f>
        <v>23</v>
      </c>
      <c r="E131" s="20" cm="1">
        <f t="array" aca="1" ref="E131" ca="1">IF(D131="","",IF(D131&lt;&gt;D130,1,IF(E130=misLíneas-2,0,E130+1)))</f>
        <v>3</v>
      </c>
      <c r="F131" s="20" t="str" cm="1">
        <f t="array" aca="1" ref="F131" ca="1">IF(OR(E131=0,E131=""),"",INDEX(misCriticidades,D131)&amp;"-"&amp;IFERROR(MATCH(E131,miOrdenTarjeta,0),0))</f>
        <v>2-3</v>
      </c>
      <c r="H131" s="20">
        <f t="shared" ca="1" si="36"/>
        <v>10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7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>
      <c r="C132" s="20">
        <f t="shared" ca="1" si="45"/>
        <v>15</v>
      </c>
      <c r="D132" s="20">
        <f t="shared" ca="1" si="51"/>
        <v>23</v>
      </c>
      <c r="E132" s="20" cm="1">
        <f t="array" aca="1" ref="E132" ca="1">IF(D132="","",IF(D132&lt;&gt;D131,1,IF(E131=misLíneas-2,0,E131+1)))</f>
        <v>4</v>
      </c>
      <c r="F132" s="20" t="str" cm="1">
        <f t="array" aca="1" ref="F132" ca="1">IF(OR(E132=0,E132=""),"",INDEX(misCriticidades,D132)&amp;"-"&amp;IFERROR(MATCH(E132,miOrdenTarjeta,0),0))</f>
        <v>2-4</v>
      </c>
      <c r="H132" s="20">
        <f t="shared" ref="H132:H195" ca="1" si="61">H131--(J131=0)</f>
        <v>10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7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>
      <c r="C133" s="20">
        <f t="shared" ca="1" si="45"/>
        <v>15</v>
      </c>
      <c r="D133" s="20">
        <f t="shared" ca="1" si="51"/>
        <v>23</v>
      </c>
      <c r="E133" s="20" cm="1">
        <f t="array" aca="1" ref="E133" ca="1">IF(D133="","",IF(D133&lt;&gt;D132,1,IF(E132=misLíneas-2,0,E132+1)))</f>
        <v>5</v>
      </c>
      <c r="F133" s="20" t="str" cm="1">
        <f t="array" aca="1" ref="F133" ca="1">IF(OR(E133=0,E133=""),"",INDEX(misCriticidades,D133)&amp;"-"&amp;IFERROR(MATCH(E133,miOrdenTarjeta,0),0))</f>
        <v>2-5</v>
      </c>
      <c r="H133" s="20">
        <f t="shared" ca="1" si="61"/>
        <v>10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7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>
      <c r="C134" s="20">
        <f t="shared" ca="1" si="45"/>
        <v>15</v>
      </c>
      <c r="D134" s="20">
        <f t="shared" ca="1" si="51"/>
        <v>23</v>
      </c>
      <c r="E134" s="20" cm="1">
        <f t="array" aca="1" ref="E134" ca="1">IF(D134="","",IF(D134&lt;&gt;D133,1,IF(E133=misLíneas-2,0,E133+1)))</f>
        <v>6</v>
      </c>
      <c r="F134" s="20" t="str" cm="1">
        <f t="array" aca="1" ref="F134" ca="1">IF(OR(E134=0,E134=""),"",INDEX(misCriticidades,D134)&amp;"-"&amp;IFERROR(MATCH(E134,miOrdenTarjeta,0),0))</f>
        <v>2-6</v>
      </c>
      <c r="H134" s="20">
        <f t="shared" ca="1" si="61"/>
        <v>10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7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>
      <c r="C135" s="20">
        <f t="shared" ca="1" si="45"/>
        <v>15</v>
      </c>
      <c r="D135" s="20">
        <f t="shared" ca="1" si="51"/>
        <v>23</v>
      </c>
      <c r="E135" s="20" cm="1">
        <f t="array" aca="1" ref="E135" ca="1">IF(D135="","",IF(D135&lt;&gt;D134,1,IF(E134=misLíneas-2,0,E134+1)))</f>
        <v>7</v>
      </c>
      <c r="F135" s="20" t="str" cm="1">
        <f t="array" aca="1" ref="F135" ca="1">IF(OR(E135=0,E135=""),"",INDEX(misCriticidades,D135)&amp;"-"&amp;IFERROR(MATCH(E135,miOrdenTarjeta,0),0))</f>
        <v>2-7</v>
      </c>
      <c r="H135" s="20">
        <f t="shared" ca="1" si="61"/>
        <v>10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7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>
      <c r="C136" s="20">
        <f t="shared" ca="1" si="45"/>
        <v>15</v>
      </c>
      <c r="D136" s="20">
        <f t="shared" ca="1" si="51"/>
        <v>23</v>
      </c>
      <c r="E136" s="20" cm="1">
        <f t="array" aca="1" ref="E136" ca="1">IF(D136="","",IF(D136&lt;&gt;D135,1,IF(E135=misLíneas-2,0,E135+1)))</f>
        <v>8</v>
      </c>
      <c r="F136" s="20" t="str" cm="1">
        <f t="array" aca="1" ref="F136" ca="1">IF(OR(E136=0,E136=""),"",INDEX(misCriticidades,D136)&amp;"-"&amp;IFERROR(MATCH(E136,miOrdenTarjeta,0),0))</f>
        <v>2-8</v>
      </c>
      <c r="H136" s="20">
        <f t="shared" ca="1" si="61"/>
        <v>10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7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>
      <c r="C137" s="20">
        <f t="shared" ca="1" si="45"/>
        <v>15</v>
      </c>
      <c r="D137" s="20">
        <f t="shared" ca="1" si="51"/>
        <v>23</v>
      </c>
      <c r="E137" s="20" cm="1">
        <f t="array" aca="1" ref="E137" ca="1">IF(D137="","",IF(D137&lt;&gt;D136,1,IF(E136=misLíneas-2,0,E136+1)))</f>
        <v>0</v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10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7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>
      <c r="C138" s="20">
        <f t="shared" ca="1" si="45"/>
        <v>16</v>
      </c>
      <c r="D138" s="20">
        <f t="shared" ca="1" si="51"/>
        <v>22</v>
      </c>
      <c r="E138" s="20" cm="1">
        <f t="array" aca="1" ref="E138" ca="1">IF(D138="","",IF(D138&lt;&gt;D137,1,IF(E137=misLíneas-2,0,E137+1)))</f>
        <v>1</v>
      </c>
      <c r="F138" s="20" t="str" cm="1">
        <f t="array" aca="1" ref="F138" ca="1">IF(OR(E138=0,E138=""),"",INDEX(misCriticidades,D138)&amp;"-"&amp;IFERROR(MATCH(E138,miOrdenTarjeta,0),0))</f>
        <v>2-1</v>
      </c>
      <c r="H138" s="20">
        <f t="shared" ca="1" si="61"/>
        <v>10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7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>
      <c r="C139" s="20">
        <f t="shared" ref="C139:C198" ca="1" si="70">C138--(E138=0)</f>
        <v>16</v>
      </c>
      <c r="D139" s="20">
        <f t="shared" ca="1" si="51"/>
        <v>22</v>
      </c>
      <c r="E139" s="20" cm="1">
        <f t="array" aca="1" ref="E139" ca="1">IF(D139="","",IF(D139&lt;&gt;D138,1,IF(E138=misLíneas-2,0,E138+1)))</f>
        <v>2</v>
      </c>
      <c r="F139" s="20" t="str" cm="1">
        <f t="array" aca="1" ref="F139" ca="1">IF(OR(E139=0,E139=""),"",INDEX(misCriticidades,D139)&amp;"-"&amp;IFERROR(MATCH(E139,miOrdenTarjeta,0),0))</f>
        <v>2-2</v>
      </c>
      <c r="H139" s="20">
        <f t="shared" ca="1" si="61"/>
        <v>10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7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>
      <c r="C140" s="20">
        <f t="shared" ca="1" si="70"/>
        <v>16</v>
      </c>
      <c r="D140" s="20">
        <f t="shared" ca="1" si="51"/>
        <v>22</v>
      </c>
      <c r="E140" s="20" cm="1">
        <f t="array" aca="1" ref="E140" ca="1">IF(D140="","",IF(D140&lt;&gt;D139,1,IF(E139=misLíneas-2,0,E139+1)))</f>
        <v>3</v>
      </c>
      <c r="F140" s="20" t="str" cm="1">
        <f t="array" aca="1" ref="F140" ca="1">IF(OR(E140=0,E140=""),"",INDEX(misCriticidades,D140)&amp;"-"&amp;IFERROR(MATCH(E140,miOrdenTarjeta,0),0))</f>
        <v>2-3</v>
      </c>
      <c r="H140" s="20">
        <f t="shared" ca="1" si="61"/>
        <v>10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7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>
      <c r="C141" s="20">
        <f t="shared" ca="1" si="70"/>
        <v>16</v>
      </c>
      <c r="D141" s="20">
        <f t="shared" ca="1" si="51"/>
        <v>22</v>
      </c>
      <c r="E141" s="20" cm="1">
        <f t="array" aca="1" ref="E141" ca="1">IF(D141="","",IF(D141&lt;&gt;D140,1,IF(E140=misLíneas-2,0,E140+1)))</f>
        <v>4</v>
      </c>
      <c r="F141" s="20" t="str" cm="1">
        <f t="array" aca="1" ref="F141" ca="1">IF(OR(E141=0,E141=""),"",INDEX(misCriticidades,D141)&amp;"-"&amp;IFERROR(MATCH(E141,miOrdenTarjeta,0),0))</f>
        <v>2-4</v>
      </c>
      <c r="H141" s="20">
        <f t="shared" ca="1" si="61"/>
        <v>10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7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>
      <c r="C142" s="20">
        <f t="shared" ca="1" si="70"/>
        <v>16</v>
      </c>
      <c r="D142" s="20">
        <f t="shared" ca="1" si="51"/>
        <v>22</v>
      </c>
      <c r="E142" s="20" cm="1">
        <f t="array" aca="1" ref="E142" ca="1">IF(D142="","",IF(D142&lt;&gt;D141,1,IF(E141=misLíneas-2,0,E141+1)))</f>
        <v>5</v>
      </c>
      <c r="F142" s="20" t="str" cm="1">
        <f t="array" aca="1" ref="F142" ca="1">IF(OR(E142=0,E142=""),"",INDEX(misCriticidades,D142)&amp;"-"&amp;IFERROR(MATCH(E142,miOrdenTarjeta,0),0))</f>
        <v>2-5</v>
      </c>
      <c r="H142" s="20">
        <f t="shared" ca="1" si="61"/>
        <v>10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7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>
      <c r="C143" s="20">
        <f t="shared" ca="1" si="70"/>
        <v>16</v>
      </c>
      <c r="D143" s="20">
        <f t="shared" ca="1" si="51"/>
        <v>22</v>
      </c>
      <c r="E143" s="20" cm="1">
        <f t="array" aca="1" ref="E143" ca="1">IF(D143="","",IF(D143&lt;&gt;D142,1,IF(E142=misLíneas-2,0,E142+1)))</f>
        <v>6</v>
      </c>
      <c r="F143" s="20" t="str" cm="1">
        <f t="array" aca="1" ref="F143" ca="1">IF(OR(E143=0,E143=""),"",INDEX(misCriticidades,D143)&amp;"-"&amp;IFERROR(MATCH(E143,miOrdenTarjeta,0),0))</f>
        <v>2-6</v>
      </c>
      <c r="H143" s="20">
        <f t="shared" ca="1" si="61"/>
        <v>10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7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>
      <c r="C144" s="20">
        <f t="shared" ca="1" si="70"/>
        <v>16</v>
      </c>
      <c r="D144" s="20">
        <f t="shared" ca="1" si="51"/>
        <v>22</v>
      </c>
      <c r="E144" s="20" cm="1">
        <f t="array" aca="1" ref="E144" ca="1">IF(D144="","",IF(D144&lt;&gt;D143,1,IF(E143=misLíneas-2,0,E143+1)))</f>
        <v>7</v>
      </c>
      <c r="F144" s="20" t="str" cm="1">
        <f t="array" aca="1" ref="F144" ca="1">IF(OR(E144=0,E144=""),"",INDEX(misCriticidades,D144)&amp;"-"&amp;IFERROR(MATCH(E144,miOrdenTarjeta,0),0))</f>
        <v>2-7</v>
      </c>
      <c r="H144" s="20">
        <f t="shared" ca="1" si="61"/>
        <v>10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7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>
      <c r="C145" s="20">
        <f t="shared" ca="1" si="70"/>
        <v>16</v>
      </c>
      <c r="D145" s="20">
        <f t="shared" ca="1" si="51"/>
        <v>22</v>
      </c>
      <c r="E145" s="20" cm="1">
        <f t="array" aca="1" ref="E145" ca="1">IF(D145="","",IF(D145&lt;&gt;D144,1,IF(E144=misLíneas-2,0,E144+1)))</f>
        <v>8</v>
      </c>
      <c r="F145" s="20" t="str" cm="1">
        <f t="array" aca="1" ref="F145" ca="1">IF(OR(E145=0,E145=""),"",INDEX(misCriticidades,D145)&amp;"-"&amp;IFERROR(MATCH(E145,miOrdenTarjeta,0),0))</f>
        <v>2-8</v>
      </c>
      <c r="H145" s="20">
        <f t="shared" ca="1" si="61"/>
        <v>10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7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>
      <c r="C146" s="20">
        <f t="shared" ca="1" si="70"/>
        <v>16</v>
      </c>
      <c r="D146" s="20">
        <f t="shared" ca="1" si="51"/>
        <v>22</v>
      </c>
      <c r="E146" s="20" cm="1">
        <f t="array" aca="1" ref="E146" ca="1">IF(D146="","",IF(D146&lt;&gt;D145,1,IF(E145=misLíneas-2,0,E145+1)))</f>
        <v>0</v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10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7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>
      <c r="C147" s="20">
        <f t="shared" ca="1" si="70"/>
        <v>17</v>
      </c>
      <c r="D147" s="20">
        <f t="shared" ca="1" si="51"/>
        <v>21</v>
      </c>
      <c r="E147" s="20" cm="1">
        <f t="array" aca="1" ref="E147" ca="1">IF(D147="","",IF(D147&lt;&gt;D146,1,IF(E146=misLíneas-2,0,E146+1)))</f>
        <v>1</v>
      </c>
      <c r="F147" s="20" t="str" cm="1">
        <f t="array" aca="1" ref="F147" ca="1">IF(OR(E147=0,E147=""),"",INDEX(misCriticidades,D147)&amp;"-"&amp;IFERROR(MATCH(E147,miOrdenTarjeta,0),0))</f>
        <v>2-1</v>
      </c>
      <c r="H147" s="20">
        <f t="shared" ca="1" si="61"/>
        <v>10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7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>
      <c r="C148" s="20">
        <f t="shared" ca="1" si="70"/>
        <v>17</v>
      </c>
      <c r="D148" s="20">
        <f t="shared" ca="1" si="51"/>
        <v>21</v>
      </c>
      <c r="E148" s="20" cm="1">
        <f t="array" aca="1" ref="E148" ca="1">IF(D148="","",IF(D148&lt;&gt;D147,1,IF(E147=misLíneas-2,0,E147+1)))</f>
        <v>2</v>
      </c>
      <c r="F148" s="20" t="str" cm="1">
        <f t="array" aca="1" ref="F148" ca="1">IF(OR(E148=0,E148=""),"",INDEX(misCriticidades,D148)&amp;"-"&amp;IFERROR(MATCH(E148,miOrdenTarjeta,0),0))</f>
        <v>2-2</v>
      </c>
      <c r="H148" s="20">
        <f t="shared" ca="1" si="61"/>
        <v>10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7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>
      <c r="C149" s="20">
        <f t="shared" ca="1" si="70"/>
        <v>17</v>
      </c>
      <c r="D149" s="20">
        <f t="shared" ca="1" si="51"/>
        <v>21</v>
      </c>
      <c r="E149" s="20" cm="1">
        <f t="array" aca="1" ref="E149" ca="1">IF(D149="","",IF(D149&lt;&gt;D148,1,IF(E148=misLíneas-2,0,E148+1)))</f>
        <v>3</v>
      </c>
      <c r="F149" s="20" t="str" cm="1">
        <f t="array" aca="1" ref="F149" ca="1">IF(OR(E149=0,E149=""),"",INDEX(misCriticidades,D149)&amp;"-"&amp;IFERROR(MATCH(E149,miOrdenTarjeta,0),0))</f>
        <v>2-3</v>
      </c>
      <c r="H149" s="20">
        <f t="shared" ca="1" si="61"/>
        <v>10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7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>
      <c r="C150" s="20">
        <f t="shared" ca="1" si="70"/>
        <v>17</v>
      </c>
      <c r="D150" s="20">
        <f t="shared" ca="1" si="51"/>
        <v>21</v>
      </c>
      <c r="E150" s="20" cm="1">
        <f t="array" aca="1" ref="E150" ca="1">IF(D150="","",IF(D150&lt;&gt;D149,1,IF(E149=misLíneas-2,0,E149+1)))</f>
        <v>4</v>
      </c>
      <c r="F150" s="20" t="str" cm="1">
        <f t="array" aca="1" ref="F150" ca="1">IF(OR(E150=0,E150=""),"",INDEX(misCriticidades,D150)&amp;"-"&amp;IFERROR(MATCH(E150,miOrdenTarjeta,0),0))</f>
        <v>2-4</v>
      </c>
      <c r="H150" s="20">
        <f t="shared" ca="1" si="61"/>
        <v>10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7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>
      <c r="C151" s="20">
        <f t="shared" ca="1" si="70"/>
        <v>17</v>
      </c>
      <c r="D151" s="20">
        <f t="shared" ca="1" si="51"/>
        <v>21</v>
      </c>
      <c r="E151" s="20" cm="1">
        <f t="array" aca="1" ref="E151" ca="1">IF(D151="","",IF(D151&lt;&gt;D150,1,IF(E150=misLíneas-2,0,E150+1)))</f>
        <v>5</v>
      </c>
      <c r="F151" s="20" t="str" cm="1">
        <f t="array" aca="1" ref="F151" ca="1">IF(OR(E151=0,E151=""),"",INDEX(misCriticidades,D151)&amp;"-"&amp;IFERROR(MATCH(E151,miOrdenTarjeta,0),0))</f>
        <v>2-5</v>
      </c>
      <c r="H151" s="20">
        <f t="shared" ca="1" si="61"/>
        <v>10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7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>
      <c r="C152" s="20">
        <f t="shared" ca="1" si="70"/>
        <v>17</v>
      </c>
      <c r="D152" s="20">
        <f t="shared" ca="1" si="51"/>
        <v>21</v>
      </c>
      <c r="E152" s="20" cm="1">
        <f t="array" aca="1" ref="E152" ca="1">IF(D152="","",IF(D152&lt;&gt;D151,1,IF(E151=misLíneas-2,0,E151+1)))</f>
        <v>6</v>
      </c>
      <c r="F152" s="20" t="str" cm="1">
        <f t="array" aca="1" ref="F152" ca="1">IF(OR(E152=0,E152=""),"",INDEX(misCriticidades,D152)&amp;"-"&amp;IFERROR(MATCH(E152,miOrdenTarjeta,0),0))</f>
        <v>2-6</v>
      </c>
      <c r="H152" s="20">
        <f t="shared" ca="1" si="61"/>
        <v>10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7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>
      <c r="C153" s="20">
        <f t="shared" ca="1" si="70"/>
        <v>17</v>
      </c>
      <c r="D153" s="20">
        <f t="shared" ca="1" si="51"/>
        <v>21</v>
      </c>
      <c r="E153" s="20" cm="1">
        <f t="array" aca="1" ref="E153" ca="1">IF(D153="","",IF(D153&lt;&gt;D152,1,IF(E152=misLíneas-2,0,E152+1)))</f>
        <v>7</v>
      </c>
      <c r="F153" s="20" t="str" cm="1">
        <f t="array" aca="1" ref="F153" ca="1">IF(OR(E153=0,E153=""),"",INDEX(misCriticidades,D153)&amp;"-"&amp;IFERROR(MATCH(E153,miOrdenTarjeta,0),0))</f>
        <v>2-7</v>
      </c>
      <c r="H153" s="20">
        <f t="shared" ca="1" si="61"/>
        <v>10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7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>
      <c r="C154" s="20">
        <f t="shared" ca="1" si="70"/>
        <v>17</v>
      </c>
      <c r="D154" s="20">
        <f t="shared" ca="1" si="51"/>
        <v>21</v>
      </c>
      <c r="E154" s="20" cm="1">
        <f t="array" aca="1" ref="E154" ca="1">IF(D154="","",IF(D154&lt;&gt;D153,1,IF(E153=misLíneas-2,0,E153+1)))</f>
        <v>8</v>
      </c>
      <c r="F154" s="20" t="str" cm="1">
        <f t="array" aca="1" ref="F154" ca="1">IF(OR(E154=0,E154=""),"",INDEX(misCriticidades,D154)&amp;"-"&amp;IFERROR(MATCH(E154,miOrdenTarjeta,0),0))</f>
        <v>2-8</v>
      </c>
      <c r="H154" s="20">
        <f t="shared" ca="1" si="61"/>
        <v>10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7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>
      <c r="C155" s="20">
        <f t="shared" ca="1" si="70"/>
        <v>17</v>
      </c>
      <c r="D155" s="20">
        <f t="shared" ca="1" si="51"/>
        <v>21</v>
      </c>
      <c r="E155" s="20" cm="1">
        <f t="array" aca="1" ref="E155" ca="1">IF(D155="","",IF(D155&lt;&gt;D154,1,IF(E154=misLíneas-2,0,E154+1)))</f>
        <v>0</v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10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7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>
      <c r="C156" s="20">
        <f t="shared" ca="1" si="70"/>
        <v>18</v>
      </c>
      <c r="D156" s="20">
        <f t="shared" ca="1" si="51"/>
        <v>20</v>
      </c>
      <c r="E156" s="20" cm="1">
        <f t="array" aca="1" ref="E156" ca="1">IF(D156="","",IF(D156&lt;&gt;D155,1,IF(E155=misLíneas-2,0,E155+1)))</f>
        <v>1</v>
      </c>
      <c r="F156" s="20" t="str" cm="1">
        <f t="array" aca="1" ref="F156" ca="1">IF(OR(E156=0,E156=""),"",INDEX(misCriticidades,D156)&amp;"-"&amp;IFERROR(MATCH(E156,miOrdenTarjeta,0),0))</f>
        <v>2-1</v>
      </c>
      <c r="H156" s="20">
        <f t="shared" ca="1" si="61"/>
        <v>10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7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>
      <c r="C157" s="20">
        <f t="shared" ca="1" si="70"/>
        <v>18</v>
      </c>
      <c r="D157" s="20">
        <f t="shared" ca="1" si="51"/>
        <v>20</v>
      </c>
      <c r="E157" s="20" cm="1">
        <f t="array" aca="1" ref="E157" ca="1">IF(D157="","",IF(D157&lt;&gt;D156,1,IF(E156=misLíneas-2,0,E156+1)))</f>
        <v>2</v>
      </c>
      <c r="F157" s="20" t="str" cm="1">
        <f t="array" aca="1" ref="F157" ca="1">IF(OR(E157=0,E157=""),"",INDEX(misCriticidades,D157)&amp;"-"&amp;IFERROR(MATCH(E157,miOrdenTarjeta,0),0))</f>
        <v>2-2</v>
      </c>
      <c r="H157" s="20">
        <f t="shared" ca="1" si="61"/>
        <v>10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7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>
      <c r="C158" s="20">
        <f t="shared" ca="1" si="70"/>
        <v>18</v>
      </c>
      <c r="D158" s="20">
        <f t="shared" ca="1" si="51"/>
        <v>20</v>
      </c>
      <c r="E158" s="20" cm="1">
        <f t="array" aca="1" ref="E158" ca="1">IF(D158="","",IF(D158&lt;&gt;D157,1,IF(E157=misLíneas-2,0,E157+1)))</f>
        <v>3</v>
      </c>
      <c r="F158" s="20" t="str" cm="1">
        <f t="array" aca="1" ref="F158" ca="1">IF(OR(E158=0,E158=""),"",INDEX(misCriticidades,D158)&amp;"-"&amp;IFERROR(MATCH(E158,miOrdenTarjeta,0),0))</f>
        <v>2-3</v>
      </c>
      <c r="H158" s="20">
        <f t="shared" ca="1" si="61"/>
        <v>10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7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>
      <c r="C159" s="20">
        <f t="shared" ca="1" si="70"/>
        <v>18</v>
      </c>
      <c r="D159" s="20">
        <f t="shared" ca="1" si="51"/>
        <v>20</v>
      </c>
      <c r="E159" s="20" cm="1">
        <f t="array" aca="1" ref="E159" ca="1">IF(D159="","",IF(D159&lt;&gt;D158,1,IF(E158=misLíneas-2,0,E158+1)))</f>
        <v>4</v>
      </c>
      <c r="F159" s="20" t="str" cm="1">
        <f t="array" aca="1" ref="F159" ca="1">IF(OR(E159=0,E159=""),"",INDEX(misCriticidades,D159)&amp;"-"&amp;IFERROR(MATCH(E159,miOrdenTarjeta,0),0))</f>
        <v>2-4</v>
      </c>
      <c r="H159" s="20">
        <f t="shared" ca="1" si="61"/>
        <v>10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7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>
      <c r="C160" s="20">
        <f t="shared" ca="1" si="70"/>
        <v>18</v>
      </c>
      <c r="D160" s="20">
        <f t="shared" ca="1" si="51"/>
        <v>20</v>
      </c>
      <c r="E160" s="20" cm="1">
        <f t="array" aca="1" ref="E160" ca="1">IF(D160="","",IF(D160&lt;&gt;D159,1,IF(E159=misLíneas-2,0,E159+1)))</f>
        <v>5</v>
      </c>
      <c r="F160" s="20" t="str" cm="1">
        <f t="array" aca="1" ref="F160" ca="1">IF(OR(E160=0,E160=""),"",INDEX(misCriticidades,D160)&amp;"-"&amp;IFERROR(MATCH(E160,miOrdenTarjeta,0),0))</f>
        <v>2-5</v>
      </c>
      <c r="H160" s="20">
        <f t="shared" ca="1" si="61"/>
        <v>10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7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>
      <c r="C161" s="20">
        <f t="shared" ca="1" si="70"/>
        <v>18</v>
      </c>
      <c r="D161" s="20">
        <f t="shared" ca="1" si="51"/>
        <v>20</v>
      </c>
      <c r="E161" s="20" cm="1">
        <f t="array" aca="1" ref="E161" ca="1">IF(D161="","",IF(D161&lt;&gt;D160,1,IF(E160=misLíneas-2,0,E160+1)))</f>
        <v>6</v>
      </c>
      <c r="F161" s="20" t="str" cm="1">
        <f t="array" aca="1" ref="F161" ca="1">IF(OR(E161=0,E161=""),"",INDEX(misCriticidades,D161)&amp;"-"&amp;IFERROR(MATCH(E161,miOrdenTarjeta,0),0))</f>
        <v>2-6</v>
      </c>
      <c r="H161" s="20">
        <f t="shared" ca="1" si="61"/>
        <v>10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7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>
      <c r="C162" s="20">
        <f t="shared" ca="1" si="70"/>
        <v>18</v>
      </c>
      <c r="D162" s="20">
        <f t="shared" ca="1" si="51"/>
        <v>20</v>
      </c>
      <c r="E162" s="20" cm="1">
        <f t="array" aca="1" ref="E162" ca="1">IF(D162="","",IF(D162&lt;&gt;D161,1,IF(E161=misLíneas-2,0,E161+1)))</f>
        <v>7</v>
      </c>
      <c r="F162" s="20" t="str" cm="1">
        <f t="array" aca="1" ref="F162" ca="1">IF(OR(E162=0,E162=""),"",INDEX(misCriticidades,D162)&amp;"-"&amp;IFERROR(MATCH(E162,miOrdenTarjeta,0),0))</f>
        <v>2-7</v>
      </c>
      <c r="H162" s="20">
        <f t="shared" ca="1" si="61"/>
        <v>10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7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>
      <c r="C163" s="20">
        <f t="shared" ca="1" si="70"/>
        <v>18</v>
      </c>
      <c r="D163" s="20">
        <f t="shared" ref="D163:D194" ca="1" si="71">IF(C163&gt;C162,IFERROR(IF(F$1="v",SMALL(B$2:B$101,C163),LARGE(B$2:B$101,C163)),""),D162)</f>
        <v>20</v>
      </c>
      <c r="E163" s="20" cm="1">
        <f t="array" aca="1" ref="E163" ca="1">IF(D163="","",IF(D163&lt;&gt;D162,1,IF(E162=misLíneas-2,0,E162+1)))</f>
        <v>8</v>
      </c>
      <c r="F163" s="20" t="str" cm="1">
        <f t="array" aca="1" ref="F163" ca="1">IF(OR(E163=0,E163=""),"",INDEX(misCriticidades,D163)&amp;"-"&amp;IFERROR(MATCH(E163,miOrdenTarjeta,0),0))</f>
        <v>2-8</v>
      </c>
      <c r="H163" s="20">
        <f t="shared" ca="1" si="61"/>
        <v>10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7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>
      <c r="C164" s="20">
        <f t="shared" ca="1" si="70"/>
        <v>18</v>
      </c>
      <c r="D164" s="20">
        <f t="shared" ca="1" si="71"/>
        <v>20</v>
      </c>
      <c r="E164" s="20" cm="1">
        <f t="array" aca="1" ref="E164" ca="1">IF(D164="","",IF(D164&lt;&gt;D163,1,IF(E163=misLíneas-2,0,E163+1)))</f>
        <v>0</v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10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7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>
      <c r="C165" s="20">
        <f t="shared" ca="1" si="70"/>
        <v>19</v>
      </c>
      <c r="D165" s="20">
        <f t="shared" ca="1" si="71"/>
        <v>19</v>
      </c>
      <c r="E165" s="20" cm="1">
        <f t="array" aca="1" ref="E165" ca="1">IF(D165="","",IF(D165&lt;&gt;D164,1,IF(E164=misLíneas-2,0,E164+1)))</f>
        <v>1</v>
      </c>
      <c r="F165" s="20" t="str" cm="1">
        <f t="array" aca="1" ref="F165" ca="1">IF(OR(E165=0,E165=""),"",INDEX(misCriticidades,D165)&amp;"-"&amp;IFERROR(MATCH(E165,miOrdenTarjeta,0),0))</f>
        <v>1-1</v>
      </c>
      <c r="H165" s="20">
        <f t="shared" ca="1" si="61"/>
        <v>10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7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>
      <c r="C166" s="20">
        <f t="shared" ca="1" si="70"/>
        <v>19</v>
      </c>
      <c r="D166" s="20">
        <f t="shared" ca="1" si="71"/>
        <v>19</v>
      </c>
      <c r="E166" s="20" cm="1">
        <f t="array" aca="1" ref="E166" ca="1">IF(D166="","",IF(D166&lt;&gt;D165,1,IF(E165=misLíneas-2,0,E165+1)))</f>
        <v>2</v>
      </c>
      <c r="F166" s="20" t="str" cm="1">
        <f t="array" aca="1" ref="F166" ca="1">IF(OR(E166=0,E166=""),"",INDEX(misCriticidades,D166)&amp;"-"&amp;IFERROR(MATCH(E166,miOrdenTarjeta,0),0))</f>
        <v>1-2</v>
      </c>
      <c r="H166" s="20">
        <f t="shared" ca="1" si="61"/>
        <v>10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7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>
      <c r="C167" s="20">
        <f t="shared" ca="1" si="70"/>
        <v>19</v>
      </c>
      <c r="D167" s="20">
        <f t="shared" ca="1" si="71"/>
        <v>19</v>
      </c>
      <c r="E167" s="20" cm="1">
        <f t="array" aca="1" ref="E167" ca="1">IF(D167="","",IF(D167&lt;&gt;D166,1,IF(E166=misLíneas-2,0,E166+1)))</f>
        <v>3</v>
      </c>
      <c r="F167" s="20" t="str" cm="1">
        <f t="array" aca="1" ref="F167" ca="1">IF(OR(E167=0,E167=""),"",INDEX(misCriticidades,D167)&amp;"-"&amp;IFERROR(MATCH(E167,miOrdenTarjeta,0),0))</f>
        <v>1-3</v>
      </c>
      <c r="H167" s="20">
        <f t="shared" ca="1" si="61"/>
        <v>10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7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>
      <c r="C168" s="20">
        <f t="shared" ca="1" si="70"/>
        <v>19</v>
      </c>
      <c r="D168" s="20">
        <f t="shared" ca="1" si="71"/>
        <v>19</v>
      </c>
      <c r="E168" s="20" cm="1">
        <f t="array" aca="1" ref="E168" ca="1">IF(D168="","",IF(D168&lt;&gt;D167,1,IF(E167=misLíneas-2,0,E167+1)))</f>
        <v>4</v>
      </c>
      <c r="F168" s="20" t="str" cm="1">
        <f t="array" aca="1" ref="F168" ca="1">IF(OR(E168=0,E168=""),"",INDEX(misCriticidades,D168)&amp;"-"&amp;IFERROR(MATCH(E168,miOrdenTarjeta,0),0))</f>
        <v>1-4</v>
      </c>
      <c r="H168" s="20">
        <f t="shared" ca="1" si="61"/>
        <v>10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7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>
      <c r="C169" s="20">
        <f t="shared" ca="1" si="70"/>
        <v>19</v>
      </c>
      <c r="D169" s="20">
        <f t="shared" ca="1" si="71"/>
        <v>19</v>
      </c>
      <c r="E169" s="20" cm="1">
        <f t="array" aca="1" ref="E169" ca="1">IF(D169="","",IF(D169&lt;&gt;D168,1,IF(E168=misLíneas-2,0,E168+1)))</f>
        <v>5</v>
      </c>
      <c r="F169" s="20" t="str" cm="1">
        <f t="array" aca="1" ref="F169" ca="1">IF(OR(E169=0,E169=""),"",INDEX(misCriticidades,D169)&amp;"-"&amp;IFERROR(MATCH(E169,miOrdenTarjeta,0),0))</f>
        <v>1-5</v>
      </c>
      <c r="H169" s="20">
        <f t="shared" ca="1" si="61"/>
        <v>10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7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>
      <c r="C170" s="20">
        <f t="shared" ca="1" si="70"/>
        <v>19</v>
      </c>
      <c r="D170" s="20">
        <f t="shared" ca="1" si="71"/>
        <v>19</v>
      </c>
      <c r="E170" s="20" cm="1">
        <f t="array" aca="1" ref="E170" ca="1">IF(D170="","",IF(D170&lt;&gt;D169,1,IF(E169=misLíneas-2,0,E169+1)))</f>
        <v>6</v>
      </c>
      <c r="F170" s="20" t="str" cm="1">
        <f t="array" aca="1" ref="F170" ca="1">IF(OR(E170=0,E170=""),"",INDEX(misCriticidades,D170)&amp;"-"&amp;IFERROR(MATCH(E170,miOrdenTarjeta,0),0))</f>
        <v>1-6</v>
      </c>
      <c r="H170" s="20">
        <f t="shared" ca="1" si="61"/>
        <v>10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7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>
      <c r="C171" s="20">
        <f t="shared" ca="1" si="70"/>
        <v>19</v>
      </c>
      <c r="D171" s="20">
        <f t="shared" ca="1" si="71"/>
        <v>19</v>
      </c>
      <c r="E171" s="20" cm="1">
        <f t="array" aca="1" ref="E171" ca="1">IF(D171="","",IF(D171&lt;&gt;D170,1,IF(E170=misLíneas-2,0,E170+1)))</f>
        <v>7</v>
      </c>
      <c r="F171" s="20" t="str" cm="1">
        <f t="array" aca="1" ref="F171" ca="1">IF(OR(E171=0,E171=""),"",INDEX(misCriticidades,D171)&amp;"-"&amp;IFERROR(MATCH(E171,miOrdenTarjeta,0),0))</f>
        <v>1-7</v>
      </c>
      <c r="H171" s="20">
        <f t="shared" ca="1" si="61"/>
        <v>10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7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>
      <c r="C172" s="20">
        <f t="shared" ca="1" si="70"/>
        <v>19</v>
      </c>
      <c r="D172" s="20">
        <f t="shared" ca="1" si="71"/>
        <v>19</v>
      </c>
      <c r="E172" s="20" cm="1">
        <f t="array" aca="1" ref="E172" ca="1">IF(D172="","",IF(D172&lt;&gt;D171,1,IF(E171=misLíneas-2,0,E171+1)))</f>
        <v>8</v>
      </c>
      <c r="F172" s="20" t="str" cm="1">
        <f t="array" aca="1" ref="F172" ca="1">IF(OR(E172=0,E172=""),"",INDEX(misCriticidades,D172)&amp;"-"&amp;IFERROR(MATCH(E172,miOrdenTarjeta,0),0))</f>
        <v>1-8</v>
      </c>
      <c r="H172" s="20">
        <f t="shared" ca="1" si="61"/>
        <v>10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7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>
      <c r="C173" s="20">
        <f t="shared" ca="1" si="70"/>
        <v>19</v>
      </c>
      <c r="D173" s="20">
        <f t="shared" ca="1" si="71"/>
        <v>19</v>
      </c>
      <c r="E173" s="20" cm="1">
        <f t="array" aca="1" ref="E173" ca="1">IF(D173="","",IF(D173&lt;&gt;D172,1,IF(E172=misLíneas-2,0,E172+1)))</f>
        <v>0</v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10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7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>
      <c r="C174" s="20">
        <f t="shared" ca="1" si="70"/>
        <v>20</v>
      </c>
      <c r="D174" s="20">
        <f t="shared" ca="1" si="71"/>
        <v>18</v>
      </c>
      <c r="E174" s="20" cm="1">
        <f t="array" aca="1" ref="E174" ca="1">IF(D174="","",IF(D174&lt;&gt;D173,1,IF(E173=misLíneas-2,0,E173+1)))</f>
        <v>1</v>
      </c>
      <c r="F174" s="20" t="str" cm="1">
        <f t="array" aca="1" ref="F174" ca="1">IF(OR(E174=0,E174=""),"",INDEX(misCriticidades,D174)&amp;"-"&amp;IFERROR(MATCH(E174,miOrdenTarjeta,0),0))</f>
        <v>1-1</v>
      </c>
      <c r="H174" s="20">
        <f t="shared" ca="1" si="61"/>
        <v>10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7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>
      <c r="C175" s="20">
        <f t="shared" ca="1" si="70"/>
        <v>20</v>
      </c>
      <c r="D175" s="20">
        <f t="shared" ca="1" si="71"/>
        <v>18</v>
      </c>
      <c r="E175" s="20" cm="1">
        <f t="array" aca="1" ref="E175" ca="1">IF(D175="","",IF(D175&lt;&gt;D174,1,IF(E174=misLíneas-2,0,E174+1)))</f>
        <v>2</v>
      </c>
      <c r="F175" s="20" t="str" cm="1">
        <f t="array" aca="1" ref="F175" ca="1">IF(OR(E175=0,E175=""),"",INDEX(misCriticidades,D175)&amp;"-"&amp;IFERROR(MATCH(E175,miOrdenTarjeta,0),0))</f>
        <v>1-2</v>
      </c>
      <c r="H175" s="20">
        <f t="shared" ca="1" si="61"/>
        <v>10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7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>
      <c r="C176" s="20">
        <f t="shared" ca="1" si="70"/>
        <v>20</v>
      </c>
      <c r="D176" s="20">
        <f t="shared" ca="1" si="71"/>
        <v>18</v>
      </c>
      <c r="E176" s="20" cm="1">
        <f t="array" aca="1" ref="E176" ca="1">IF(D176="","",IF(D176&lt;&gt;D175,1,IF(E175=misLíneas-2,0,E175+1)))</f>
        <v>3</v>
      </c>
      <c r="F176" s="20" t="str" cm="1">
        <f t="array" aca="1" ref="F176" ca="1">IF(OR(E176=0,E176=""),"",INDEX(misCriticidades,D176)&amp;"-"&amp;IFERROR(MATCH(E176,miOrdenTarjeta,0),0))</f>
        <v>1-3</v>
      </c>
      <c r="H176" s="20">
        <f t="shared" ca="1" si="61"/>
        <v>10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7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>
      <c r="C177" s="20">
        <f t="shared" ca="1" si="70"/>
        <v>20</v>
      </c>
      <c r="D177" s="20">
        <f t="shared" ca="1" si="71"/>
        <v>18</v>
      </c>
      <c r="E177" s="20" cm="1">
        <f t="array" aca="1" ref="E177" ca="1">IF(D177="","",IF(D177&lt;&gt;D176,1,IF(E176=misLíneas-2,0,E176+1)))</f>
        <v>4</v>
      </c>
      <c r="F177" s="20" t="str" cm="1">
        <f t="array" aca="1" ref="F177" ca="1">IF(OR(E177=0,E177=""),"",INDEX(misCriticidades,D177)&amp;"-"&amp;IFERROR(MATCH(E177,miOrdenTarjeta,0),0))</f>
        <v>1-4</v>
      </c>
      <c r="H177" s="20">
        <f t="shared" ca="1" si="61"/>
        <v>10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7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>
      <c r="C178" s="20">
        <f t="shared" ca="1" si="70"/>
        <v>20</v>
      </c>
      <c r="D178" s="20">
        <f t="shared" ca="1" si="71"/>
        <v>18</v>
      </c>
      <c r="E178" s="20" cm="1">
        <f t="array" aca="1" ref="E178" ca="1">IF(D178="","",IF(D178&lt;&gt;D177,1,IF(E177=misLíneas-2,0,E177+1)))</f>
        <v>5</v>
      </c>
      <c r="F178" s="20" t="str" cm="1">
        <f t="array" aca="1" ref="F178" ca="1">IF(OR(E178=0,E178=""),"",INDEX(misCriticidades,D178)&amp;"-"&amp;IFERROR(MATCH(E178,miOrdenTarjeta,0),0))</f>
        <v>1-5</v>
      </c>
      <c r="H178" s="20">
        <f t="shared" ca="1" si="61"/>
        <v>10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7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>
      <c r="C179" s="20">
        <f t="shared" ca="1" si="70"/>
        <v>20</v>
      </c>
      <c r="D179" s="20">
        <f t="shared" ca="1" si="71"/>
        <v>18</v>
      </c>
      <c r="E179" s="20" cm="1">
        <f t="array" aca="1" ref="E179" ca="1">IF(D179="","",IF(D179&lt;&gt;D178,1,IF(E178=misLíneas-2,0,E178+1)))</f>
        <v>6</v>
      </c>
      <c r="F179" s="20" t="str" cm="1">
        <f t="array" aca="1" ref="F179" ca="1">IF(OR(E179=0,E179=""),"",INDEX(misCriticidades,D179)&amp;"-"&amp;IFERROR(MATCH(E179,miOrdenTarjeta,0),0))</f>
        <v>1-6</v>
      </c>
      <c r="H179" s="20">
        <f t="shared" ca="1" si="61"/>
        <v>10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7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>
      <c r="C180" s="20">
        <f t="shared" ca="1" si="70"/>
        <v>20</v>
      </c>
      <c r="D180" s="20">
        <f t="shared" ca="1" si="71"/>
        <v>18</v>
      </c>
      <c r="E180" s="20" cm="1">
        <f t="array" aca="1" ref="E180" ca="1">IF(D180="","",IF(D180&lt;&gt;D179,1,IF(E179=misLíneas-2,0,E179+1)))</f>
        <v>7</v>
      </c>
      <c r="F180" s="20" t="str" cm="1">
        <f t="array" aca="1" ref="F180" ca="1">IF(OR(E180=0,E180=""),"",INDEX(misCriticidades,D180)&amp;"-"&amp;IFERROR(MATCH(E180,miOrdenTarjeta,0),0))</f>
        <v>1-7</v>
      </c>
      <c r="H180" s="20">
        <f t="shared" ca="1" si="61"/>
        <v>10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7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>
      <c r="C181" s="20">
        <f t="shared" ca="1" si="70"/>
        <v>20</v>
      </c>
      <c r="D181" s="20">
        <f t="shared" ca="1" si="71"/>
        <v>18</v>
      </c>
      <c r="E181" s="20" cm="1">
        <f t="array" aca="1" ref="E181" ca="1">IF(D181="","",IF(D181&lt;&gt;D180,1,IF(E180=misLíneas-2,0,E180+1)))</f>
        <v>8</v>
      </c>
      <c r="F181" s="20" t="str" cm="1">
        <f t="array" aca="1" ref="F181" ca="1">IF(OR(E181=0,E181=""),"",INDEX(misCriticidades,D181)&amp;"-"&amp;IFERROR(MATCH(E181,miOrdenTarjeta,0),0))</f>
        <v>1-8</v>
      </c>
      <c r="H181" s="20">
        <f t="shared" ca="1" si="61"/>
        <v>10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7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>
      <c r="C182" s="20">
        <f t="shared" ca="1" si="70"/>
        <v>20</v>
      </c>
      <c r="D182" s="20">
        <f t="shared" ca="1" si="71"/>
        <v>18</v>
      </c>
      <c r="E182" s="20" cm="1">
        <f t="array" aca="1" ref="E182" ca="1">IF(D182="","",IF(D182&lt;&gt;D181,1,IF(E181=misLíneas-2,0,E181+1)))</f>
        <v>0</v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10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7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>
      <c r="C183" s="20">
        <f t="shared" ca="1" si="70"/>
        <v>21</v>
      </c>
      <c r="D183" s="20">
        <f t="shared" ca="1" si="71"/>
        <v>17</v>
      </c>
      <c r="E183" s="20" cm="1">
        <f t="array" aca="1" ref="E183" ca="1">IF(D183="","",IF(D183&lt;&gt;D182,1,IF(E182=misLíneas-2,0,E182+1)))</f>
        <v>1</v>
      </c>
      <c r="F183" s="20" t="str" cm="1">
        <f t="array" aca="1" ref="F183" ca="1">IF(OR(E183=0,E183=""),"",INDEX(misCriticidades,D183)&amp;"-"&amp;IFERROR(MATCH(E183,miOrdenTarjeta,0),0))</f>
        <v>1-1</v>
      </c>
      <c r="H183" s="20">
        <f t="shared" ca="1" si="61"/>
        <v>10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7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>
      <c r="C184" s="20">
        <f t="shared" ca="1" si="70"/>
        <v>21</v>
      </c>
      <c r="D184" s="20">
        <f t="shared" ca="1" si="71"/>
        <v>17</v>
      </c>
      <c r="E184" s="20" cm="1">
        <f t="array" aca="1" ref="E184" ca="1">IF(D184="","",IF(D184&lt;&gt;D183,1,IF(E183=misLíneas-2,0,E183+1)))</f>
        <v>2</v>
      </c>
      <c r="F184" s="20" t="str" cm="1">
        <f t="array" aca="1" ref="F184" ca="1">IF(OR(E184=0,E184=""),"",INDEX(misCriticidades,D184)&amp;"-"&amp;IFERROR(MATCH(E184,miOrdenTarjeta,0),0))</f>
        <v>1-2</v>
      </c>
      <c r="H184" s="20">
        <f t="shared" ca="1" si="61"/>
        <v>10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7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>
      <c r="C185" s="20">
        <f t="shared" ca="1" si="70"/>
        <v>21</v>
      </c>
      <c r="D185" s="20">
        <f t="shared" ca="1" si="71"/>
        <v>17</v>
      </c>
      <c r="E185" s="20" cm="1">
        <f t="array" aca="1" ref="E185" ca="1">IF(D185="","",IF(D185&lt;&gt;D184,1,IF(E184=misLíneas-2,0,E184+1)))</f>
        <v>3</v>
      </c>
      <c r="F185" s="20" t="str" cm="1">
        <f t="array" aca="1" ref="F185" ca="1">IF(OR(E185=0,E185=""),"",INDEX(misCriticidades,D185)&amp;"-"&amp;IFERROR(MATCH(E185,miOrdenTarjeta,0),0))</f>
        <v>1-3</v>
      </c>
      <c r="H185" s="20">
        <f t="shared" ca="1" si="61"/>
        <v>10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7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>
      <c r="C186" s="20">
        <f t="shared" ca="1" si="70"/>
        <v>21</v>
      </c>
      <c r="D186" s="20">
        <f t="shared" ca="1" si="71"/>
        <v>17</v>
      </c>
      <c r="E186" s="20" cm="1">
        <f t="array" aca="1" ref="E186" ca="1">IF(D186="","",IF(D186&lt;&gt;D185,1,IF(E185=misLíneas-2,0,E185+1)))</f>
        <v>4</v>
      </c>
      <c r="F186" s="20" t="str" cm="1">
        <f t="array" aca="1" ref="F186" ca="1">IF(OR(E186=0,E186=""),"",INDEX(misCriticidades,D186)&amp;"-"&amp;IFERROR(MATCH(E186,miOrdenTarjeta,0),0))</f>
        <v>1-4</v>
      </c>
      <c r="H186" s="20">
        <f t="shared" ca="1" si="61"/>
        <v>10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7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>
      <c r="C187" s="20">
        <f t="shared" ca="1" si="70"/>
        <v>21</v>
      </c>
      <c r="D187" s="20">
        <f t="shared" ca="1" si="71"/>
        <v>17</v>
      </c>
      <c r="E187" s="20" cm="1">
        <f t="array" aca="1" ref="E187" ca="1">IF(D187="","",IF(D187&lt;&gt;D186,1,IF(E186=misLíneas-2,0,E186+1)))</f>
        <v>5</v>
      </c>
      <c r="F187" s="20" t="str" cm="1">
        <f t="array" aca="1" ref="F187" ca="1">IF(OR(E187=0,E187=""),"",INDEX(misCriticidades,D187)&amp;"-"&amp;IFERROR(MATCH(E187,miOrdenTarjeta,0),0))</f>
        <v>1-5</v>
      </c>
      <c r="H187" s="20">
        <f t="shared" ca="1" si="61"/>
        <v>10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7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>
      <c r="C188" s="20">
        <f t="shared" ca="1" si="70"/>
        <v>21</v>
      </c>
      <c r="D188" s="20">
        <f t="shared" ca="1" si="71"/>
        <v>17</v>
      </c>
      <c r="E188" s="20" cm="1">
        <f t="array" aca="1" ref="E188" ca="1">IF(D188="","",IF(D188&lt;&gt;D187,1,IF(E187=misLíneas-2,0,E187+1)))</f>
        <v>6</v>
      </c>
      <c r="F188" s="20" t="str" cm="1">
        <f t="array" aca="1" ref="F188" ca="1">IF(OR(E188=0,E188=""),"",INDEX(misCriticidades,D188)&amp;"-"&amp;IFERROR(MATCH(E188,miOrdenTarjeta,0),0))</f>
        <v>1-6</v>
      </c>
      <c r="H188" s="20">
        <f t="shared" ca="1" si="61"/>
        <v>10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7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>
      <c r="C189" s="20">
        <f t="shared" ca="1" si="70"/>
        <v>21</v>
      </c>
      <c r="D189" s="20">
        <f t="shared" ca="1" si="71"/>
        <v>17</v>
      </c>
      <c r="E189" s="20" cm="1">
        <f t="array" aca="1" ref="E189" ca="1">IF(D189="","",IF(D189&lt;&gt;D188,1,IF(E188=misLíneas-2,0,E188+1)))</f>
        <v>7</v>
      </c>
      <c r="F189" s="20" t="str" cm="1">
        <f t="array" aca="1" ref="F189" ca="1">IF(OR(E189=0,E189=""),"",INDEX(misCriticidades,D189)&amp;"-"&amp;IFERROR(MATCH(E189,miOrdenTarjeta,0),0))</f>
        <v>1-7</v>
      </c>
      <c r="H189" s="20">
        <f t="shared" ca="1" si="61"/>
        <v>10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7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>
      <c r="C190" s="20">
        <f t="shared" ca="1" si="70"/>
        <v>21</v>
      </c>
      <c r="D190" s="20">
        <f t="shared" ca="1" si="71"/>
        <v>17</v>
      </c>
      <c r="E190" s="20" cm="1">
        <f t="array" aca="1" ref="E190" ca="1">IF(D190="","",IF(D190&lt;&gt;D189,1,IF(E189=misLíneas-2,0,E189+1)))</f>
        <v>8</v>
      </c>
      <c r="F190" s="20" t="str" cm="1">
        <f t="array" aca="1" ref="F190" ca="1">IF(OR(E190=0,E190=""),"",INDEX(misCriticidades,D190)&amp;"-"&amp;IFERROR(MATCH(E190,miOrdenTarjeta,0),0))</f>
        <v>1-8</v>
      </c>
      <c r="H190" s="20">
        <f t="shared" ca="1" si="61"/>
        <v>10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7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>
      <c r="C191" s="20">
        <f t="shared" ca="1" si="70"/>
        <v>21</v>
      </c>
      <c r="D191" s="20">
        <f t="shared" ca="1" si="71"/>
        <v>17</v>
      </c>
      <c r="E191" s="20" cm="1">
        <f t="array" aca="1" ref="E191" ca="1">IF(D191="","",IF(D191&lt;&gt;D190,1,IF(E190=misLíneas-2,0,E190+1)))</f>
        <v>0</v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10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7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>
      <c r="C192" s="20">
        <f t="shared" ca="1" si="70"/>
        <v>22</v>
      </c>
      <c r="D192" s="20">
        <f t="shared" ca="1" si="71"/>
        <v>16</v>
      </c>
      <c r="E192" s="20" cm="1">
        <f t="array" aca="1" ref="E192" ca="1">IF(D192="","",IF(D192&lt;&gt;D191,1,IF(E191=misLíneas-2,0,E191+1)))</f>
        <v>1</v>
      </c>
      <c r="F192" s="20" t="str" cm="1">
        <f t="array" aca="1" ref="F192" ca="1">IF(OR(E192=0,E192=""),"",INDEX(misCriticidades,D192)&amp;"-"&amp;IFERROR(MATCH(E192,miOrdenTarjeta,0),0))</f>
        <v>1-1</v>
      </c>
      <c r="H192" s="20">
        <f t="shared" ca="1" si="61"/>
        <v>10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7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>
      <c r="C193" s="20">
        <f t="shared" ca="1" si="70"/>
        <v>22</v>
      </c>
      <c r="D193" s="20">
        <f t="shared" ca="1" si="71"/>
        <v>16</v>
      </c>
      <c r="E193" s="20" cm="1">
        <f t="array" aca="1" ref="E193" ca="1">IF(D193="","",IF(D193&lt;&gt;D192,1,IF(E192=misLíneas-2,0,E192+1)))</f>
        <v>2</v>
      </c>
      <c r="F193" s="20" t="str" cm="1">
        <f t="array" aca="1" ref="F193" ca="1">IF(OR(E193=0,E193=""),"",INDEX(misCriticidades,D193)&amp;"-"&amp;IFERROR(MATCH(E193,miOrdenTarjeta,0),0))</f>
        <v>1-2</v>
      </c>
      <c r="H193" s="20">
        <f t="shared" ca="1" si="61"/>
        <v>10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7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>
      <c r="C194" s="20">
        <f t="shared" ca="1" si="70"/>
        <v>22</v>
      </c>
      <c r="D194" s="20">
        <f t="shared" ca="1" si="71"/>
        <v>16</v>
      </c>
      <c r="E194" s="20" cm="1">
        <f t="array" aca="1" ref="E194" ca="1">IF(D194="","",IF(D194&lt;&gt;D193,1,IF(E193=misLíneas-2,0,E193+1)))</f>
        <v>3</v>
      </c>
      <c r="F194" s="20" t="str" cm="1">
        <f t="array" aca="1" ref="F194" ca="1">IF(OR(E194=0,E194=""),"",INDEX(misCriticidades,D194)&amp;"-"&amp;IFERROR(MATCH(E194,miOrdenTarjeta,0),0))</f>
        <v>1-3</v>
      </c>
      <c r="H194" s="20">
        <f t="shared" ca="1" si="61"/>
        <v>10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7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>
      <c r="C195" s="20">
        <f t="shared" ca="1" si="70"/>
        <v>22</v>
      </c>
      <c r="D195" s="20">
        <f t="shared" ref="D195:D198" ca="1" si="76">IF(C195&gt;C194,IFERROR(IF(F$1="v",SMALL(B$2:B$101,C195),LARGE(B$2:B$101,C195)),""),D194)</f>
        <v>16</v>
      </c>
      <c r="E195" s="20" cm="1">
        <f t="array" aca="1" ref="E195" ca="1">IF(D195="","",IF(D195&lt;&gt;D194,1,IF(E194=misLíneas-2,0,E194+1)))</f>
        <v>4</v>
      </c>
      <c r="F195" s="20" t="str" cm="1">
        <f t="array" aca="1" ref="F195" ca="1">IF(OR(E195=0,E195=""),"",INDEX(misCriticidades,D195)&amp;"-"&amp;IFERROR(MATCH(E195,miOrdenTarjeta,0),0))</f>
        <v>1-4</v>
      </c>
      <c r="H195" s="20">
        <f t="shared" ca="1" si="61"/>
        <v>10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7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>
      <c r="C196" s="20">
        <f t="shared" ca="1" si="70"/>
        <v>22</v>
      </c>
      <c r="D196" s="20">
        <f t="shared" ca="1" si="76"/>
        <v>16</v>
      </c>
      <c r="E196" s="20" cm="1">
        <f t="array" aca="1" ref="E196" ca="1">IF(D196="","",IF(D196&lt;&gt;D195,1,IF(E195=misLíneas-2,0,E195+1)))</f>
        <v>5</v>
      </c>
      <c r="F196" s="20" t="str" cm="1">
        <f t="array" aca="1" ref="F196" ca="1">IF(OR(E196=0,E196=""),"",INDEX(misCriticidades,D196)&amp;"-"&amp;IFERROR(MATCH(E196,miOrdenTarjeta,0),0))</f>
        <v>1-5</v>
      </c>
      <c r="H196" s="20">
        <f t="shared" ref="H196:H198" ca="1" si="86">H195--(J195=0)</f>
        <v>10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7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>
      <c r="C197" s="20">
        <f t="shared" ca="1" si="70"/>
        <v>22</v>
      </c>
      <c r="D197" s="20">
        <f t="shared" ca="1" si="76"/>
        <v>16</v>
      </c>
      <c r="E197" s="20" cm="1">
        <f t="array" aca="1" ref="E197" ca="1">IF(D197="","",IF(D197&lt;&gt;D196,1,IF(E196=misLíneas-2,0,E196+1)))</f>
        <v>6</v>
      </c>
      <c r="F197" s="20" t="str" cm="1">
        <f t="array" aca="1" ref="F197" ca="1">IF(OR(E197=0,E197=""),"",INDEX(misCriticidades,D197)&amp;"-"&amp;IFERROR(MATCH(E197,miOrdenTarjeta,0),0))</f>
        <v>1-6</v>
      </c>
      <c r="H197" s="20">
        <f t="shared" ca="1" si="86"/>
        <v>10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7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>
      <c r="C198" s="20">
        <f t="shared" ca="1" si="70"/>
        <v>22</v>
      </c>
      <c r="D198" s="20">
        <f t="shared" ca="1" si="76"/>
        <v>16</v>
      </c>
      <c r="E198" s="20" cm="1">
        <f t="array" aca="1" ref="E198" ca="1">IF(D198="","",IF(D198&lt;&gt;D197,1,IF(E197=misLíneas-2,0,E197+1)))</f>
        <v>7</v>
      </c>
      <c r="F198" s="20" t="str" cm="1">
        <f t="array" aca="1" ref="F198" ca="1">IF(OR(E198=0,E198=""),"",INDEX(misCriticidades,D198)&amp;"-"&amp;IFERROR(MATCH(E198,miOrdenTarjeta,0),0))</f>
        <v>1-7</v>
      </c>
      <c r="H198" s="20">
        <f t="shared" ca="1" si="86"/>
        <v>10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7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pane="bottomLeft" activeCell="A2" sqref="A2"/>
      <selection activeCell="A2" sqref="A2"/>
    </sheetView>
  </sheetViews>
  <sheetFormatPr defaultColWidth="0" defaultRowHeight="14.45" zeroHeight="1"/>
  <cols>
    <col min="1" max="7" width="32.5703125" style="2" customWidth="1"/>
    <col min="8" max="16384" width="10.85546875" style="2" hidden="1"/>
  </cols>
  <sheetData>
    <row r="1" spans="1:7">
      <c r="A1" s="27">
        <f ca="1">IFERROR(MATCH(miIdioma,misIdiomas,0),1)</f>
        <v>1</v>
      </c>
      <c r="B1" s="2" t="s">
        <v>66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</row>
    <row r="2" spans="1:7">
      <c r="A2" s="32" t="str" cm="1">
        <f t="array" aca="1" ref="A2" ca="1">INDEX(TablaIdiomas[#This Row],1,$A$1)&amp;""</f>
        <v>Tablero KANBAN</v>
      </c>
      <c r="B2" s="2" t="s">
        <v>88</v>
      </c>
      <c r="C2" s="2" t="s">
        <v>89</v>
      </c>
      <c r="D2" s="2" t="s">
        <v>90</v>
      </c>
      <c r="E2" s="2" t="s">
        <v>91</v>
      </c>
      <c r="F2" s="2" t="s">
        <v>92</v>
      </c>
      <c r="G2" s="2" t="s">
        <v>93</v>
      </c>
    </row>
    <row r="3" spans="1:7">
      <c r="A3" s="36" t="str" cm="1">
        <f t="array" aca="1" ref="A3" ca="1">INDEX(TablaIdiomas[#This Row],1,$A$1)&amp;""</f>
        <v>Idioma</v>
      </c>
      <c r="B3" s="2" t="s">
        <v>94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</row>
    <row r="4" spans="1:7">
      <c r="A4" s="32" t="str" cm="1">
        <f t="array" aca="1" ref="A4" ca="1">INDEX(TablaIdiomas[#This Row],1,$A$1)&amp;""</f>
        <v>AVISO:</v>
      </c>
      <c r="B4" s="2" t="s">
        <v>100</v>
      </c>
      <c r="C4" s="2" t="s">
        <v>101</v>
      </c>
      <c r="D4" s="2" t="s">
        <v>102</v>
      </c>
      <c r="E4" s="2" t="s">
        <v>103</v>
      </c>
      <c r="F4" s="2" t="s">
        <v>104</v>
      </c>
      <c r="G4" s="2" t="s">
        <v>100</v>
      </c>
    </row>
    <row r="5" spans="1:7">
      <c r="A5" s="36" t="str" cm="1">
        <f t="array" aca="1" ref="A5" ca="1">INDEX(TablaIdiomas[#This Row],1,$A$1)&amp;""</f>
        <v>Es preciso traducir</v>
      </c>
      <c r="B5" s="2" t="s">
        <v>105</v>
      </c>
      <c r="C5" s="2" t="s">
        <v>106</v>
      </c>
      <c r="D5" s="2" t="s">
        <v>107</v>
      </c>
      <c r="E5" s="2" t="s">
        <v>108</v>
      </c>
      <c r="F5" s="2" t="s">
        <v>109</v>
      </c>
      <c r="G5" s="2" t="s">
        <v>110</v>
      </c>
    </row>
    <row r="6" spans="1:7">
      <c r="A6" s="32" t="str" cm="1">
        <f t="array" aca="1" ref="A6" ca="1">INDEX(TablaIdiomas[#This Row],1,$A$1)&amp;""</f>
        <v>Estados y Criticidad</v>
      </c>
      <c r="B6" s="2" t="s">
        <v>111</v>
      </c>
      <c r="C6" s="2" t="s">
        <v>112</v>
      </c>
      <c r="D6" s="2" t="s">
        <v>113</v>
      </c>
      <c r="E6" s="2" t="s">
        <v>114</v>
      </c>
      <c r="F6" s="2" t="s">
        <v>115</v>
      </c>
      <c r="G6" s="2" t="s">
        <v>116</v>
      </c>
    </row>
    <row r="7" spans="1:7">
      <c r="A7" s="36" t="str" cm="1">
        <f t="array" aca="1" ref="A7" ca="1">INDEX(TablaIdiomas[#This Row],1,$A$1)&amp;""</f>
        <v>Estados</v>
      </c>
      <c r="B7" s="2" t="s">
        <v>117</v>
      </c>
      <c r="C7" s="2" t="s">
        <v>118</v>
      </c>
      <c r="D7" s="2" t="s">
        <v>119</v>
      </c>
      <c r="E7" s="2" t="s">
        <v>120</v>
      </c>
      <c r="F7" s="2" t="s">
        <v>121</v>
      </c>
      <c r="G7" s="2" t="s">
        <v>117</v>
      </c>
    </row>
    <row r="8" spans="1:7">
      <c r="A8" s="32" t="str" cm="1">
        <f t="array" aca="1" ref="A8" ca="1">INDEX(TablaIdiomas[#This Row],1,$A$1)&amp;""</f>
        <v>Criticidad</v>
      </c>
      <c r="B8" s="2" t="s">
        <v>122</v>
      </c>
      <c r="C8" s="2" t="s">
        <v>123</v>
      </c>
      <c r="D8" s="2" t="s">
        <v>124</v>
      </c>
      <c r="E8" s="2" t="s">
        <v>125</v>
      </c>
      <c r="F8" s="2" t="s">
        <v>126</v>
      </c>
      <c r="G8" s="2" t="s">
        <v>127</v>
      </c>
    </row>
    <row r="9" spans="1:7">
      <c r="A9" s="36" t="str" cm="1">
        <f t="array" aca="1" ref="A9" ca="1">INDEX(TablaIdiomas[#This Row],1,$A$1)&amp;""</f>
        <v>Miembros del equipo</v>
      </c>
      <c r="B9" s="2" t="s">
        <v>128</v>
      </c>
      <c r="C9" s="2" t="s">
        <v>129</v>
      </c>
      <c r="D9" s="2" t="s">
        <v>130</v>
      </c>
      <c r="E9" s="2" t="s">
        <v>131</v>
      </c>
      <c r="F9" s="2" t="s">
        <v>132</v>
      </c>
      <c r="G9" s="2" t="s">
        <v>133</v>
      </c>
    </row>
    <row r="10" spans="1:7">
      <c r="A10" s="32" t="str" cm="1">
        <f t="array" aca="1" ref="A10" ca="1">INDEX(TablaIdiomas[#This Row],1,$A$1)&amp;""</f>
        <v>Estado final</v>
      </c>
      <c r="B10" s="2" t="s">
        <v>134</v>
      </c>
      <c r="C10" s="2" t="s">
        <v>135</v>
      </c>
      <c r="D10" s="2" t="s">
        <v>136</v>
      </c>
      <c r="E10" s="2" t="s">
        <v>137</v>
      </c>
      <c r="F10" s="2" t="s">
        <v>138</v>
      </c>
      <c r="G10" s="2" t="s">
        <v>134</v>
      </c>
    </row>
    <row r="11" spans="1:7">
      <c r="A11" s="36" t="str" cm="1">
        <f t="array" aca="1" ref="A11" ca="1">INDEX(TablaIdiomas[#This Row],1,$A$1)&amp;""</f>
        <v>Nombre archivo en Excel para la Web</v>
      </c>
      <c r="B11" s="2" t="s">
        <v>139</v>
      </c>
      <c r="C11" s="2" t="s">
        <v>140</v>
      </c>
      <c r="D11" s="2" t="s">
        <v>141</v>
      </c>
      <c r="E11" s="2" t="s">
        <v>142</v>
      </c>
      <c r="F11" s="2" t="s">
        <v>143</v>
      </c>
      <c r="G11" s="2" t="s">
        <v>144</v>
      </c>
    </row>
    <row r="12" spans="1:7">
      <c r="A12" s="32" t="str" cm="1">
        <f t="array" aca="1" ref="A12" ca="1">INDEX(TablaIdiomas[#This Row],1,$A$1)&amp;""</f>
        <v>Tarea</v>
      </c>
      <c r="B12" s="2" t="s">
        <v>145</v>
      </c>
      <c r="C12" s="2" t="s">
        <v>146</v>
      </c>
      <c r="D12" s="2" t="s">
        <v>147</v>
      </c>
      <c r="E12" s="2" t="s">
        <v>148</v>
      </c>
      <c r="F12" s="2" t="s">
        <v>149</v>
      </c>
      <c r="G12" s="2" t="s">
        <v>150</v>
      </c>
    </row>
    <row r="13" spans="1:7">
      <c r="A13" s="36" t="str" cm="1">
        <f t="array" aca="1" ref="A13" ca="1">INDEX(TablaIdiomas[#This Row],1,$A$1)&amp;""</f>
        <v>Descripción</v>
      </c>
      <c r="B13" s="2" t="s">
        <v>151</v>
      </c>
      <c r="C13" s="2" t="s">
        <v>152</v>
      </c>
      <c r="D13" s="2" t="s">
        <v>152</v>
      </c>
      <c r="E13" s="2" t="s">
        <v>153</v>
      </c>
      <c r="F13" s="2" t="s">
        <v>154</v>
      </c>
      <c r="G13" s="2" t="s">
        <v>155</v>
      </c>
    </row>
    <row r="14" spans="1:7">
      <c r="A14" s="32" t="str" cm="1">
        <f t="array" aca="1" ref="A14" ca="1">INDEX(TablaIdiomas[#This Row],1,$A$1)&amp;""</f>
        <v>Inicio</v>
      </c>
      <c r="B14" s="2" t="s">
        <v>156</v>
      </c>
      <c r="C14" s="2" t="s">
        <v>157</v>
      </c>
      <c r="D14" s="2" t="s">
        <v>158</v>
      </c>
      <c r="E14" s="2" t="s">
        <v>159</v>
      </c>
      <c r="F14" s="2" t="s">
        <v>157</v>
      </c>
      <c r="G14" s="2" t="s">
        <v>160</v>
      </c>
    </row>
    <row r="15" spans="1:7">
      <c r="A15" s="36" t="str" cm="1">
        <f t="array" aca="1" ref="A15" ca="1">INDEX(TablaIdiomas[#This Row],1,$A$1)&amp;""</f>
        <v>Previsto</v>
      </c>
      <c r="B15" s="2" t="s">
        <v>161</v>
      </c>
      <c r="C15" s="2" t="s">
        <v>162</v>
      </c>
      <c r="D15" s="2" t="s">
        <v>163</v>
      </c>
      <c r="E15" s="2" t="s">
        <v>164</v>
      </c>
      <c r="F15" s="2" t="s">
        <v>165</v>
      </c>
      <c r="G15" s="2" t="s">
        <v>166</v>
      </c>
    </row>
    <row r="16" spans="1:7">
      <c r="A16" s="32" t="str" cm="1">
        <f t="array" aca="1" ref="A16" ca="1">INDEX(TablaIdiomas[#This Row],1,$A$1)&amp;""</f>
        <v>Final</v>
      </c>
      <c r="B16" s="2" t="s">
        <v>167</v>
      </c>
      <c r="C16" s="2" t="s">
        <v>167</v>
      </c>
      <c r="D16" s="2" t="s">
        <v>168</v>
      </c>
      <c r="E16" s="2" t="s">
        <v>168</v>
      </c>
      <c r="F16" s="2" t="s">
        <v>168</v>
      </c>
      <c r="G16" s="2" t="s">
        <v>167</v>
      </c>
    </row>
    <row r="17" spans="1:7">
      <c r="A17" s="36" t="str" cm="1">
        <f t="array" aca="1" ref="A17" ca="1">INDEX(TablaIdiomas[#This Row],1,$A$1)&amp;""</f>
        <v>Duración</v>
      </c>
      <c r="B17" s="2" t="s">
        <v>169</v>
      </c>
      <c r="C17" s="2" t="s">
        <v>170</v>
      </c>
      <c r="D17" s="2" t="s">
        <v>171</v>
      </c>
      <c r="E17" s="2" t="s">
        <v>172</v>
      </c>
      <c r="F17" s="2" t="s">
        <v>173</v>
      </c>
      <c r="G17" s="2" t="s">
        <v>174</v>
      </c>
    </row>
    <row r="18" spans="1:7">
      <c r="A18" s="32" t="str" cm="1">
        <f t="array" aca="1" ref="A18" ca="1">INDEX(TablaIdiomas[#This Row],1,$A$1)&amp;""</f>
        <v>Retraso</v>
      </c>
      <c r="B18" s="2" t="s">
        <v>175</v>
      </c>
      <c r="C18" s="2" t="s">
        <v>176</v>
      </c>
      <c r="D18" s="2" t="s">
        <v>177</v>
      </c>
      <c r="E18" s="2" t="s">
        <v>178</v>
      </c>
      <c r="F18" s="2" t="s">
        <v>179</v>
      </c>
      <c r="G18" s="2" t="s">
        <v>180</v>
      </c>
    </row>
    <row r="19" spans="1:7">
      <c r="A19" s="36" t="str" cm="1">
        <f t="array" aca="1" ref="A19" ca="1">INDEX(TablaIdiomas[#This Row],1,$A$1)&amp;""</f>
        <v>Asignado</v>
      </c>
      <c r="B19" s="2" t="s">
        <v>181</v>
      </c>
      <c r="C19" s="2" t="s">
        <v>182</v>
      </c>
      <c r="D19" s="2" t="s">
        <v>183</v>
      </c>
      <c r="E19" s="2" t="s">
        <v>184</v>
      </c>
      <c r="F19" s="2" t="s">
        <v>185</v>
      </c>
      <c r="G19" s="2" t="s">
        <v>186</v>
      </c>
    </row>
    <row r="20" spans="1:7">
      <c r="A20" s="32" t="str" cm="1">
        <f t="array" aca="1" ref="A20" ca="1">INDEX(TablaIdiomas[#This Row],1,$A$1)&amp;""</f>
        <v>Filtro</v>
      </c>
      <c r="B20" s="2" t="s">
        <v>187</v>
      </c>
      <c r="C20" s="2" t="s">
        <v>188</v>
      </c>
      <c r="D20" s="2" t="s">
        <v>189</v>
      </c>
      <c r="E20" s="2" t="s">
        <v>187</v>
      </c>
      <c r="F20" s="2" t="s">
        <v>188</v>
      </c>
      <c r="G20" s="2" t="s">
        <v>187</v>
      </c>
    </row>
    <row r="21" spans="1:7">
      <c r="A21" s="36" t="str" cm="1">
        <f t="array" aca="1" ref="A21" ca="1">INDEX(TablaIdiomas[#This Row],1,$A$1)&amp;""</f>
        <v>Celda</v>
      </c>
      <c r="B21" s="2" t="s">
        <v>190</v>
      </c>
      <c r="C21" s="2" t="s">
        <v>191</v>
      </c>
      <c r="D21" s="2" t="s">
        <v>192</v>
      </c>
      <c r="E21" s="2" t="s">
        <v>193</v>
      </c>
      <c r="F21" s="2" t="s">
        <v>194</v>
      </c>
      <c r="G21" s="2" t="s">
        <v>195</v>
      </c>
    </row>
    <row r="22" spans="1:7">
      <c r="A22" s="32" t="str" cm="1">
        <f t="array" aca="1" ref="A22" ca="1">INDEX(TablaIdiomas[#This Row],1,$A$1)&amp;""</f>
        <v>Tarjetas con</v>
      </c>
      <c r="B22" s="2" t="s">
        <v>196</v>
      </c>
      <c r="C22" s="2" t="s">
        <v>197</v>
      </c>
      <c r="D22" s="2" t="s">
        <v>198</v>
      </c>
      <c r="E22" s="2" t="s">
        <v>199</v>
      </c>
      <c r="F22" s="2" t="s">
        <v>200</v>
      </c>
      <c r="G22" s="2" t="s">
        <v>201</v>
      </c>
    </row>
    <row r="23" spans="1:7">
      <c r="A23" s="36" t="str" cm="1">
        <f t="array" aca="1" ref="A23" ca="1">INDEX(TablaIdiomas[#This Row],1,$A$1)&amp;""</f>
        <v>líneas</v>
      </c>
      <c r="B23" s="2" t="s">
        <v>202</v>
      </c>
      <c r="C23" s="2" t="s">
        <v>203</v>
      </c>
      <c r="D23" s="2" t="s">
        <v>204</v>
      </c>
      <c r="E23" s="2" t="s">
        <v>205</v>
      </c>
      <c r="F23" s="2" t="s">
        <v>206</v>
      </c>
      <c r="G23" s="2" t="s">
        <v>207</v>
      </c>
    </row>
    <row r="24" spans="1:7">
      <c r="A24" s="32" t="str" cm="1">
        <f t="array" aca="1" ref="A24" ca="1">INDEX(TablaIdiomas[#This Row],1,$A$1)&amp;""</f>
        <v>tareas asignadas a</v>
      </c>
      <c r="B24" s="2" t="s">
        <v>208</v>
      </c>
      <c r="C24" s="2" t="s">
        <v>209</v>
      </c>
      <c r="D24" s="2" t="s">
        <v>210</v>
      </c>
      <c r="E24" s="2" t="s">
        <v>211</v>
      </c>
      <c r="F24" s="2" t="s">
        <v>212</v>
      </c>
      <c r="G24" s="2" t="s">
        <v>213</v>
      </c>
    </row>
    <row r="25" spans="1:7">
      <c r="A25" s="36" t="str" cm="1">
        <f t="array" aca="1" ref="A25" ca="1">INDEX(TablaIdiomas[#This Row],1,$A$1)&amp;""</f>
        <v>Con criticidad</v>
      </c>
      <c r="B25" s="2" t="s">
        <v>214</v>
      </c>
      <c r="C25" s="2" t="s">
        <v>215</v>
      </c>
      <c r="D25" s="2" t="s">
        <v>216</v>
      </c>
      <c r="E25" s="2" t="s">
        <v>217</v>
      </c>
      <c r="F25" s="2" t="s">
        <v>218</v>
      </c>
      <c r="G25" s="2" t="s">
        <v>219</v>
      </c>
    </row>
    <row r="26" spans="1:7">
      <c r="A26" s="32" t="str" cm="1">
        <f t="array" aca="1" ref="A26" ca="1">INDEX(TablaIdiomas[#This Row],1,$A$1)&amp;""</f>
        <v>Con inicio desde</v>
      </c>
      <c r="B26" s="2" t="s">
        <v>220</v>
      </c>
      <c r="C26" s="2" t="s">
        <v>221</v>
      </c>
      <c r="D26" s="2" t="s">
        <v>222</v>
      </c>
      <c r="E26" s="2" t="s">
        <v>223</v>
      </c>
      <c r="F26" s="2" t="s">
        <v>224</v>
      </c>
      <c r="G26" s="2" t="s">
        <v>225</v>
      </c>
    </row>
    <row r="27" spans="1:7">
      <c r="A27" s="36" t="str" cm="1">
        <f t="array" aca="1" ref="A27" ca="1">INDEX(TablaIdiomas[#This Row],1,$A$1)&amp;""</f>
        <v>Con el texto</v>
      </c>
      <c r="B27" s="2" t="s">
        <v>226</v>
      </c>
      <c r="C27" s="2" t="s">
        <v>227</v>
      </c>
      <c r="D27" s="2" t="s">
        <v>228</v>
      </c>
      <c r="E27" s="2" t="s">
        <v>229</v>
      </c>
      <c r="F27" s="2" t="s">
        <v>230</v>
      </c>
      <c r="G27" s="2" t="s">
        <v>231</v>
      </c>
    </row>
    <row r="28" spans="1:7">
      <c r="A28" s="32" t="str" cm="1">
        <f t="array" aca="1" ref="A28" ca="1">INDEX(TablaIdiomas[#This Row],1,$A$1)&amp;""</f>
        <v>Con un retraso &gt;</v>
      </c>
      <c r="B28" s="2" t="s">
        <v>232</v>
      </c>
      <c r="C28" s="2" t="s">
        <v>233</v>
      </c>
      <c r="D28" s="2" t="s">
        <v>234</v>
      </c>
      <c r="E28" s="2" t="s">
        <v>235</v>
      </c>
      <c r="F28" s="2" t="s">
        <v>236</v>
      </c>
      <c r="G28" s="2" t="s">
        <v>237</v>
      </c>
    </row>
    <row r="29" spans="1:7">
      <c r="A29" s="36" t="str" cm="1">
        <f t="array" aca="1" ref="A29" ca="1">INDEX(TablaIdiomas[#This Row],1,$A$1)&amp;""</f>
        <v>días</v>
      </c>
      <c r="B29" s="2" t="s">
        <v>238</v>
      </c>
      <c r="C29" s="2" t="s">
        <v>239</v>
      </c>
      <c r="D29" s="2" t="s">
        <v>240</v>
      </c>
      <c r="E29" s="2" t="s">
        <v>241</v>
      </c>
      <c r="F29" s="2" t="s">
        <v>242</v>
      </c>
      <c r="G29" s="2" t="s">
        <v>243</v>
      </c>
    </row>
    <row r="30" spans="1:7">
      <c r="A30" s="32" t="str" cm="1">
        <f t="array" aca="1" ref="A30" ca="1">INDEX(TablaIdiomas[#This Row],1,$A$1)&amp;""</f>
        <v>Orden en tarjetas</v>
      </c>
      <c r="B30" s="2" t="s">
        <v>244</v>
      </c>
      <c r="C30" s="2" t="s">
        <v>245</v>
      </c>
      <c r="D30" s="2" t="s">
        <v>246</v>
      </c>
      <c r="E30" s="2" t="s">
        <v>247</v>
      </c>
      <c r="F30" s="2" t="s">
        <v>248</v>
      </c>
      <c r="G30" s="2" t="s">
        <v>249</v>
      </c>
    </row>
    <row r="31" spans="1:7">
      <c r="A31" s="36" t="str" cm="1">
        <f t="array" aca="1" ref="A31" ca="1">INDEX(TablaIdiomas[#This Row],1,$A$1)&amp;""</f>
        <v>Cambiar números del 2 al 8</v>
      </c>
      <c r="B31" s="2" t="s">
        <v>250</v>
      </c>
      <c r="C31" s="2" t="s">
        <v>251</v>
      </c>
      <c r="D31" s="2" t="s">
        <v>252</v>
      </c>
      <c r="E31" s="2" t="s">
        <v>253</v>
      </c>
      <c r="F31" s="2" t="s">
        <v>254</v>
      </c>
      <c r="G31" s="2" t="s">
        <v>255</v>
      </c>
    </row>
    <row r="32" spans="1:7">
      <c r="A32" s="32" t="str" cm="1">
        <f t="array" aca="1" ref="A32" ca="1">INDEX(TablaIdiomas[#This Row],1,$A$1)&amp;""</f>
        <v>No duplicar los números</v>
      </c>
      <c r="B32" s="2" t="s">
        <v>256</v>
      </c>
      <c r="C32" s="2" t="s">
        <v>257</v>
      </c>
      <c r="D32" s="2" t="s">
        <v>258</v>
      </c>
      <c r="E32" s="2" t="s">
        <v>259</v>
      </c>
      <c r="F32" s="2" t="s">
        <v>260</v>
      </c>
      <c r="G32" s="2" t="s">
        <v>261</v>
      </c>
    </row>
    <row r="33" spans="1:7">
      <c r="A33" s="36" t="str" cm="1">
        <f t="array" aca="1" ref="A33" ca="1">INDEX(TablaIdiomas[#This Row],1,$A$1)&amp;""</f>
        <v>Con una duración &gt;</v>
      </c>
      <c r="B33" s="2" t="s">
        <v>262</v>
      </c>
      <c r="C33" s="2" t="s">
        <v>263</v>
      </c>
      <c r="D33" s="2" t="s">
        <v>264</v>
      </c>
      <c r="E33" s="2" t="s">
        <v>265</v>
      </c>
      <c r="F33" s="2" t="s">
        <v>266</v>
      </c>
      <c r="G33" s="2" t="s">
        <v>267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Pedro Wave</Manager>
  <Company>#ExcelPedroWave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/>
  <cp:revision>0</cp:revision>
  <dcterms:created xsi:type="dcterms:W3CDTF">2022-12-26T11:27:14Z</dcterms:created>
  <dcterms:modified xsi:type="dcterms:W3CDTF">2026-07-02T12:25:48Z</dcterms:modified>
  <cp:category/>
  <cp:contentStatus/>
</cp:coreProperties>
</file>