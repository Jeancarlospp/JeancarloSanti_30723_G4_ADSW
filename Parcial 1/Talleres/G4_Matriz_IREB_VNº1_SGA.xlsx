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5"/>
    <sheet state="visible" name="MODELO LISTA DE COMPROBACION - " sheetId="2" r:id="rId6"/>
    <sheet state="visible" name="Hoja 1" sheetId="3" r:id="rId7"/>
    <sheet state="visible" name="Hoja 2" sheetId="4" r:id="rId8"/>
    <sheet state="visible" name="RECOMENDACIONES - CU001" sheetId="5" r:id="rId9"/>
    <sheet state="visible" name="RECOMENDACIONES - CU002" sheetId="6" r:id="rId10"/>
    <sheet state="visible" name="RECOMENDACIONES - CU003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jeny ruiz:
Control del nivel de acuedo entre las partes Cliente y Desarrollador</t>
      </text>
    </comment>
    <comment authorId="0" ref="F7">
      <text>
        <t xml:space="preserve">jeny ruiz:
La información contenida en memoria se utiliza para actualizar los campos de la base de datos.</t>
      </text>
    </comment>
    <comment authorId="0" ref="G7">
      <text>
        <t xml:space="preserve">jeny ruiz:
Control del nivel de acuedo entre las partes Cliente y Desarrollador</t>
      </text>
    </comment>
    <comment authorId="0" ref="I7">
      <text>
        <t xml:space="preserve">jeny ruiz:
Se guarda en un archivo Excel los registros que dieron un problema en la actualización.</t>
      </text>
    </comment>
    <comment authorId="0" ref="J7">
      <text>
        <t xml:space="preserve">jeny ruiz:
Control del nivel de acuedo entre las partes Cliente y Desarrollador</t>
      </text>
    </comment>
    <comment authorId="0" ref="K7">
      <text>
        <t xml:space="preserve">jeny ruiz:
jeny ruiz:
Posterior a la actualización, se guardaran automáticamente el nombre de usuario, fecha, hora, registro antiguo, registro nuevo.</t>
      </text>
    </comment>
    <comment authorId="0" ref="C9">
      <text>
        <t xml:space="preserve">jeny ruiz:
Todos los interesados reconocen que el  requisito es correcto y relevante
</t>
      </text>
    </comment>
    <comment authorId="0" ref="F9">
      <text>
        <t xml:space="preserve">jeny ruiz:
Es importante ingresar el archivo plano en formato excel para el cliente y el desarrollador</t>
      </text>
    </comment>
    <comment authorId="0" ref="I9">
      <text>
        <t xml:space="preserve">jeny ruiz:
Es importante ingresar el archivo plano en formato excel para el cliente y el desarrollador</t>
      </text>
    </comment>
    <comment authorId="0" ref="K9">
      <text>
        <t xml:space="preserve">jeny ruiz:
Es importante ingresar el archivo plano en formato excel para el cliente y el desarrollador</t>
      </text>
    </comment>
    <comment authorId="0" ref="C10">
      <text>
        <t xml:space="preserve">jeny ruiz:
Ponderado por importancia o prioridad</t>
      </text>
    </comment>
    <comment authorId="0" ref="C11">
      <text>
        <t xml:space="preserve">jeny ruiz:
Todos los lectores comprenden de la misma manera, sólo una interpretación</t>
      </text>
    </comment>
    <comment authorId="0" ref="C12">
      <text>
        <t xml:space="preserve">jeny ruiz:
Toda nueva información  ha sido incorporada</t>
      </text>
    </comment>
    <comment authorId="0" ref="C13">
      <text>
        <t xml:space="preserve">jeny ruiz:
Refleja las espectativas  del implicado
</t>
      </text>
    </comment>
    <comment authorId="0" ref="C14">
      <text>
        <t xml:space="preserve">jeny ruiz:
Sin contradicciones
</t>
      </text>
    </comment>
    <comment authorId="0" ref="C15">
      <text>
        <t xml:space="preserve">jeny ruiz:
Su cumplimiento o no cumplimiento puede der probado con un esfuerzo razonable</t>
      </text>
    </comment>
    <comment authorId="0" ref="C16">
      <text>
        <t xml:space="preserve">jeny ruiz:
Puede ser implementado  y desarrollado en las condiciones actuales(tiempo, Presupuest,, orgtanizaciòn, ect)</t>
      </text>
    </comment>
    <comment authorId="0" ref="C17">
      <text>
        <t xml:space="preserve">jeny ruiz:
El origen del requisito y sus relaciones con otros requisitos  están claros.</t>
      </text>
    </comment>
    <comment authorId="0" ref="C18">
      <text>
        <t xml:space="preserve">jeny ruiz:
Trata todos los asuntos relevantes</t>
      </text>
    </comment>
    <comment authorId="0" ref="C19">
      <text>
        <t xml:space="preserve">jeny ruiz:
Para todos los interesados dependiendo  de la fase del proyecto podrían estar involucrados  distintos implicados,(Glosario de tèrminos)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ESPE:
COMPLETITUD DOCUMENTO</t>
      </text>
    </comment>
    <comment authorId="0" ref="B9">
      <text>
        <t xml:space="preserve">ESPE:
COMPLETITUD REQUISITO INDIVIDUAL
</t>
      </text>
    </comment>
    <comment authorId="0" ref="B10">
      <text>
        <t xml:space="preserve">ESPE:
TRAZABILIDAD</t>
      </text>
    </comment>
    <comment authorId="0" ref="B11">
      <text>
        <t xml:space="preserve">ESPE:
trazabilidad
</t>
      </text>
    </comment>
    <comment authorId="0" ref="B12">
      <text>
        <t xml:space="preserve">ESPE:
TRAZABILIDAD
</t>
      </text>
    </comment>
    <comment authorId="0" ref="B13">
      <text>
        <t xml:space="preserve">ESPE:
CORRECCION
</t>
      </text>
    </comment>
    <comment authorId="0" ref="B14">
      <text>
        <t xml:space="preserve">ESPE:
CONSISTENCIA</t>
      </text>
    </comment>
    <comment authorId="0" ref="B15">
      <text>
        <t xml:space="preserve">ESPE:
NECESIDAD
</t>
      </text>
    </comment>
    <comment authorId="0" ref="B16">
      <text>
        <t xml:space="preserve">ESPE:
verificable 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ESPE:
COMPLETITUD DOCUMENTO</t>
      </text>
    </comment>
    <comment authorId="0" ref="B9">
      <text>
        <t xml:space="preserve">ESPE:
COMPLETITUD REQUISITO INDIVIDUAL
</t>
      </text>
    </comment>
    <comment authorId="0" ref="B10">
      <text>
        <t xml:space="preserve">ESPE:
TRAZABILIDAD</t>
      </text>
    </comment>
    <comment authorId="0" ref="B11">
      <text>
        <t xml:space="preserve">ESPE:
trazabilidad
</t>
      </text>
    </comment>
    <comment authorId="0" ref="B12">
      <text>
        <t xml:space="preserve">ESPE:
TRAZABILIDAD
</t>
      </text>
    </comment>
    <comment authorId="0" ref="B13">
      <text>
        <t xml:space="preserve">ESPE:
CORRECCION
</t>
      </text>
    </comment>
    <comment authorId="0" ref="B14">
      <text>
        <t xml:space="preserve">ESPE:
CONSISTENCIA</t>
      </text>
    </comment>
    <comment authorId="0" ref="B15">
      <text>
        <t xml:space="preserve">ESPE:
NECESIDAD
</t>
      </text>
    </comment>
    <comment authorId="0" ref="B16">
      <text>
        <t xml:space="preserve">ESPE:
verificable 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ESPE:
COMPLETITUD DOCUMENTO</t>
      </text>
    </comment>
    <comment authorId="0" ref="B9">
      <text>
        <t xml:space="preserve">ESPE:
COMPLETITUD REQUISITO INDIVIDUAL
</t>
      </text>
    </comment>
    <comment authorId="0" ref="B10">
      <text>
        <t xml:space="preserve">ESPE:
TRAZABILIDAD</t>
      </text>
    </comment>
    <comment authorId="0" ref="B11">
      <text>
        <t xml:space="preserve">ESPE:
trazabilidad
</t>
      </text>
    </comment>
    <comment authorId="0" ref="B12">
      <text>
        <t xml:space="preserve">ESPE:
TRAZABILIDAD
</t>
      </text>
    </comment>
    <comment authorId="0" ref="B13">
      <text>
        <t xml:space="preserve">ESPE:
CORRECCION
</t>
      </text>
    </comment>
    <comment authorId="0" ref="B14">
      <text>
        <t xml:space="preserve">ESPE:
CONSISTENCIA</t>
      </text>
    </comment>
    <comment authorId="0" ref="B15">
      <text>
        <t xml:space="preserve">ESPE:
NECESIDAD
</t>
      </text>
    </comment>
    <comment authorId="0" ref="B16">
      <text>
        <t xml:space="preserve">ESPE:
verificable 
</t>
      </text>
    </comment>
  </commentList>
</comments>
</file>

<file path=xl/sharedStrings.xml><?xml version="1.0" encoding="utf-8"?>
<sst xmlns="http://schemas.openxmlformats.org/spreadsheetml/2006/main" count="306" uniqueCount="106">
  <si>
    <t>MATRIZ PARA COMPROBACIÓN REQUERIMIENTOS DE CALIDAD DE PROYECTO ACADEMICO</t>
  </si>
  <si>
    <t>SISTEMA:</t>
  </si>
  <si>
    <t>SISTEMA DE GESTION DE ALICUOTAS</t>
  </si>
  <si>
    <t xml:space="preserve"> </t>
  </si>
  <si>
    <t>Nº</t>
  </si>
  <si>
    <t>CRITERIOS DE CALIDAD (Documento/Requerimientos)</t>
  </si>
  <si>
    <t>Status
Nivel de Acuerdo</t>
  </si>
  <si>
    <t xml:space="preserve">
CU001 Administrar Sistema</t>
  </si>
  <si>
    <t xml:space="preserve">CU002Gestionar Copropietarios
</t>
  </si>
  <si>
    <t>CU003 Implementar Pagos</t>
  </si>
  <si>
    <t>Agreed</t>
  </si>
  <si>
    <t>OK</t>
  </si>
  <si>
    <t>1. Fue aprobado por la docente a cargo
2. Entrevista al Administrador del Condominio
3. Minuta realizada de la Entrevista</t>
  </si>
  <si>
    <t>1. Aceptacion del docente y cliente</t>
  </si>
  <si>
    <t>1. Videoconferencia de la entrevista
2. Minuta de la entrevista
3. Aceptación por videoconferencia</t>
  </si>
  <si>
    <t>Ranked</t>
  </si>
  <si>
    <t>NOK</t>
  </si>
  <si>
    <t>1. En el SRS se especifca que es un requisito Primario, pero los subcasos  no poseen una priorización</t>
  </si>
  <si>
    <t>1.En el documento se especifica que es un requisito de tipo primario pero no se especifica que tipo de prioridad tienen</t>
  </si>
  <si>
    <t>1.En ninguna parte de la descripción de los casos de uso se especifica la prioridad (Alta, Media, Baja) o importancia del requisito.</t>
  </si>
  <si>
    <t>Unambiguos</t>
  </si>
  <si>
    <t>1. El requisito está redactado de forma clara                                             2. Cada miembro del equipo leyó el requisito y llegó a la misma interpretación</t>
  </si>
  <si>
    <t>1. Se comenta en lo que consiste el requisito especificando actores, proposito, descripcion y tipo</t>
  </si>
  <si>
    <t xml:space="preserve">1. Las precondiciones, postcondiciones y flujos están redactados paso a paso.                                                                      2. El tutor y el equipo interpretan de igual manera el caso de uso </t>
  </si>
  <si>
    <t>Valid and up-to date</t>
  </si>
  <si>
    <t>1. No se implementaron las correcciones realizadas tanto por la docente, y no hubo revisión de la versión final con el cliente.              
2. El SRS cuenta con control de versiones</t>
  </si>
  <si>
    <t>1. Se tiene un sistema de versiones del SRS                                                                                                                                                                                                                        2. Se implementarion cambios por recomendaciones del docente.</t>
  </si>
  <si>
    <t>1. Cuenta con un control de versiones explícito                                                                                                                                                                                                                        2. Incluye reglas de tiempo específicas y actualizadas</t>
  </si>
  <si>
    <t>Correct</t>
  </si>
  <si>
    <t>1. Se especifica de manera concreta cuales son los objetivos y las experctativas operativas</t>
  </si>
  <si>
    <t>1. En la perspectiva del producto se deja en claro los objetivos que se esperan del producto.                                                                                                                                                                                                                        2. Refleja lo que realmente necesita el stakeholder.</t>
  </si>
  <si>
    <t>1. El flujo resuelve la necesidad real del sistema: el usuario reporta, el administrador audita, el sistema penaliza si hay mora y finalmente concilia emitiendo un comprobante.</t>
  </si>
  <si>
    <t>Consistente</t>
  </si>
  <si>
    <t>1. No se contradice dentro de su propio flujo y tampoco se contradice con otro requisito</t>
  </si>
  <si>
    <t>1. EL documento se encuentra validado de ambiguedades, contradicciones y paradojas</t>
  </si>
  <si>
    <t xml:space="preserve">1. Los casos de uso mantienen consistencia entre sí; los estados del pago fluyen lógicamente de un RF a otro sin contradecirse.                                           </t>
  </si>
  <si>
    <t>Verifiable</t>
  </si>
  <si>
    <t>1. No existen criterios por los cuales se pueda medir el cumplimiento dado que no se implementó la propuesta.</t>
  </si>
  <si>
    <t>1. la medicion de su cumplimiento no es verificable por que no termino de ser implementado</t>
  </si>
  <si>
    <t>1. Requisito Medible                                                           2.  Faltan los Casos de Prueba explícitos o los criterios de aceptación medibles</t>
  </si>
  <si>
    <t>Realizable</t>
  </si>
  <si>
    <t>1. Actualmente no es posible el desarrollo por falta de presupuesto y confirmación del cliente con la versión final del producto.</t>
  </si>
  <si>
    <t>1. actualmente el producto puede ser desarrollado con los costos especificados en la matriz de trazabilidad.                                                                                                                                                                                                                        2. el producto no fue desarrollado.</t>
  </si>
  <si>
    <t>1.Las operaciones descritas son factibles con cualquier entorno de desarrollo actual.
2. No se ha desarrollado.</t>
  </si>
  <si>
    <t>Traceable</t>
  </si>
  <si>
    <t>1. El origen del requisito su relación con otros requisitos se evidencia de forma clara en la matriz de trazabilidad.</t>
  </si>
  <si>
    <t>1. La relacion entre los requisitos esta especificada tanto en el docuemtno como de forma grafica en el diagrama de casos de uso</t>
  </si>
  <si>
    <t>1. Tienen identificadores únicos jerárquicos
2. Las dependencias están claramente escritas</t>
  </si>
  <si>
    <t>Complete</t>
  </si>
  <si>
    <t>1. El requisito abarca todos los elementos relevantes y necesarios para asegurar su completitud.</t>
  </si>
  <si>
    <t>1. Se aseguro de abarcar las necesidades que el stakeholder pidio</t>
  </si>
  <si>
    <t>1. Contiene toda la información necesaria para entender y diseñar la función. 
2. Describe completamente la funcionalidad esperada.</t>
  </si>
  <si>
    <t>Understandability</t>
  </si>
  <si>
    <t>1. El requisito es claro y comprensible para los involucrados, además el documento cuenta con un apartado de glosario de términos.</t>
  </si>
  <si>
    <t xml:space="preserve">1. Se cuenta con un flujo normal por cada requerimiento que sirve como guia del como se usara y para que escenarios sirve </t>
  </si>
  <si>
    <t>1. La sección de "Comentarios" en cada caso de uso aporta contexto de negocio que ayuda a cualquier desarrollador a entender el porqué de las reglas.</t>
  </si>
  <si>
    <t>Sistema De Gestión De Alicuotas</t>
  </si>
  <si>
    <t>FECHA:</t>
  </si>
  <si>
    <t>AUTOR:</t>
  </si>
  <si>
    <t>Jeancarlo Santi</t>
  </si>
  <si>
    <t>REQUERIMIENTOS EVALUADOS :</t>
  </si>
  <si>
    <t>CU001 Administrar Sistema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</si>
  <si>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</si>
  <si>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</si>
  <si>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</si>
  <si>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</si>
  <si>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</si>
  <si>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</si>
  <si>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</si>
  <si>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</si>
  <si>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</si>
  <si>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</si>
  <si>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</si>
  <si>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</si>
  <si>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</si>
  <si>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</si>
  <si>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</si>
  <si>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</si>
  <si>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</si>
  <si>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</si>
  <si>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</si>
  <si>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</si>
  <si>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</si>
  <si>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</si>
  <si>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</si>
  <si>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</si>
  <si>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</si>
  <si>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</si>
  <si>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</si>
  <si>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</si>
  <si>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</si>
  <si>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Andres Cedeño</t>
  </si>
  <si>
    <t>CU002Gestionar Copropietarios</t>
  </si>
  <si>
    <t>Tufiño Erick</t>
  </si>
  <si>
    <t>PREGUNTA</t>
  </si>
  <si>
    <t>RECOMENDACIÓN</t>
  </si>
  <si>
    <t>¿Se han validado y aprobado formalmente todos los entregables de la entrevista (videoconferencia, minuta, acta de aceptación)?</t>
  </si>
  <si>
    <t>Aplicar las debidas correcciones a la versión final y posteriormente validar con el cliente el documento, de preferencia debe constar la firma tanto del cliente como del equipo, como prueba de aceptación de los contenidos.</t>
  </si>
  <si>
    <t>¿Se han definido criterios de aceptación y casos de prueba
 que permitan medir objetivamente el cumplimiento del 
requisito?</t>
  </si>
  <si>
    <t>Elaborar casos de Prueba para incluir en pruebas unitarias y pruebas de integración automatizadas. Establecer criterios de aceptación en formato Gherkin para alinear las expectativas del cliente con el equipo de desarrollo</t>
  </si>
  <si>
    <t>¿Se han definido criterios de aceptación y casos de prueba que permitan medir objetivamente el cumplimiento del requisito?</t>
  </si>
  <si>
    <t>Elaborar casos de prueba específicos, sobre todo para validar la exactitud del cálculo matemático del 12% de mora y las restricciones de archivos. Establecer criterios de aceptación para las pruebas de integración entre los diferentes sub-casos de uso.</t>
  </si>
  <si>
    <t>¿Se ha definido claramente la prioridad de desarrollo para este conjunto de casos de uso?</t>
  </si>
  <si>
    <t>Especificar la prioridad (Alta, Media o Baja) en la descripción general de cada caso de uso</t>
  </si>
  <si>
    <t>¿Se han validado y aprobado formalmente las reglas de negocio automatizadas (como la distribución de pagos y cálculos de mora)?</t>
  </si>
  <si>
    <t>Validar que la lógica de aplicar el pago a las deudas más antiguas y el cálculo automático del recargo del 12% reflejan exactamente el reglamento del conjunto.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</si>
</sst>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6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ont="1">
      <alignment horizontal="left" readingOrder="0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12" fillId="3" fontId="11" numFmtId="0" xfId="0" applyAlignment="1" applyBorder="1" applyFont="1">
      <alignment horizontal="left"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ont="1">
      <alignment readingOrder="0" shrinkToFit="0" vertical="center" wrapText="1"/>
    </xf>
    <xf borderId="7" fillId="3" fontId="11" numFmtId="0" xfId="0" applyAlignment="1" applyBorder="1" applyFont="1">
      <alignment horizontal="left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7" fillId="5" fontId="10" numFmtId="0" xfId="0" applyAlignment="1" applyBorder="1" applyFont="1">
      <alignment horizontal="center" shrinkToFit="0" vertical="center" wrapText="1"/>
    </xf>
    <xf borderId="13" fillId="3" fontId="11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vertical="top"/>
    </xf>
    <xf borderId="0" fillId="0" fontId="13" numFmtId="0" xfId="0" applyAlignment="1" applyFont="1">
      <alignment horizontal="left" vertical="top"/>
    </xf>
    <xf borderId="0" fillId="0" fontId="14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/>
    </xf>
    <xf borderId="0" fillId="0" fontId="14" numFmtId="15" xfId="0" applyAlignment="1" applyFont="1" applyNumberForma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center" vertical="center"/>
    </xf>
    <xf borderId="12" fillId="6" fontId="14" numFmtId="0" xfId="0" applyAlignment="1" applyBorder="1" applyFill="1" applyFont="1">
      <alignment horizontal="center" vertical="center"/>
    </xf>
    <xf borderId="14" fillId="6" fontId="14" numFmtId="0" xfId="0" applyAlignment="1" applyBorder="1" applyFont="1">
      <alignment horizontal="center" vertical="center"/>
    </xf>
    <xf borderId="15" fillId="6" fontId="14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vertical="center"/>
    </xf>
    <xf borderId="0" fillId="0" fontId="13" numFmtId="0" xfId="0" applyAlignment="1" applyFont="1">
      <alignment horizontal="left" vertical="center"/>
    </xf>
    <xf borderId="0" fillId="0" fontId="8" numFmtId="9" xfId="0" applyFont="1" applyNumberFormat="1"/>
    <xf borderId="16" fillId="0" fontId="15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/>
    </xf>
    <xf borderId="0" fillId="0" fontId="8" numFmtId="0" xfId="0" applyAlignment="1" applyFont="1">
      <alignment readingOrder="0"/>
    </xf>
    <xf borderId="7" fillId="7" fontId="16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9">
    <tableStyle count="3" pivot="0" name="MODELO LISTA DE COMPROBACION - -style">
      <tableStyleElement dxfId="1" type="headerRow"/>
      <tableStyleElement dxfId="2" type="firstRowStripe"/>
      <tableStyleElement dxfId="3" type="secondRowStripe"/>
    </tableStyle>
    <tableStyle count="3" pivot="0" name="MODELO LISTA DE COMPROBACION - -style 2">
      <tableStyleElement dxfId="4" type="headerRow"/>
      <tableStyleElement dxfId="5" type="firstRowStripe"/>
      <tableStyleElement dxfId="3" type="secondRowStripe"/>
    </tableStyle>
    <tableStyle count="3" pivot="0" name="MODELO LISTA DE COMPROBACION - -style 3">
      <tableStyleElement dxfId="6" type="headerRow"/>
      <tableStyleElement dxfId="7" type="firstRowStripe"/>
      <tableStyleElement dxfId="3" type="secondRowStripe"/>
    </tableStyle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4" type="headerRow"/>
      <tableStyleElement dxfId="5" type="firstRowStripe"/>
      <tableStyleElement dxfId="3" type="secondRowStripe"/>
    </tableStyle>
    <tableStyle count="3" pivot="0" name="Hoja 1-style 3">
      <tableStyleElement dxfId="6" type="headerRow"/>
      <tableStyleElement dxfId="7" type="firstRowStripe"/>
      <tableStyleElement dxfId="3" type="secondRowStripe"/>
    </tableStyle>
    <tableStyle count="3" pivot="0" name="Hoja 2-style">
      <tableStyleElement dxfId="1" type="headerRow"/>
      <tableStyleElement dxfId="2" type="firstRowStripe"/>
      <tableStyleElement dxfId="3" type="secondRowStripe"/>
    </tableStyle>
    <tableStyle count="3" pivot="0" name="Hoja 2-style 2">
      <tableStyleElement dxfId="4" type="headerRow"/>
      <tableStyleElement dxfId="5" type="firstRowStripe"/>
      <tableStyleElement dxfId="3" type="secondRowStripe"/>
    </tableStyle>
    <tableStyle count="3" pivot="0" name="Hoja 2-style 3">
      <tableStyleElement dxfId="6" type="headerRow"/>
      <tableStyleElement dxfId="7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1'!$B$41:$B$43</c:f>
            </c:strRef>
          </c:cat>
          <c:val>
            <c:numRef>
              <c:f>'Hoja 1'!$C$41:$C$43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2'!$B$41:$B$43</c:f>
            </c:strRef>
          </c:cat>
          <c:val>
            <c:numRef>
              <c:f>'Hoja 2'!$C$41:$C$43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_4" name="Table_4" id="4">
  <tableColumns count="4">
    <tableColumn name="No." id="1"/>
    <tableColumn name="Pregunta" id="2"/>
    <tableColumn name="SI" id="3"/>
    <tableColumn name="NO " id="4"/>
  </tableColumns>
  <tableStyleInfo name="Hoja 1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5">
  <tableColumns count="4">
    <tableColumn name="No." id="1"/>
    <tableColumn name="Pregunta" id="2"/>
    <tableColumn name="SI" id="3"/>
    <tableColumn name="NO " id="4"/>
  </tableColumns>
  <tableStyleInfo name="Hoja 1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6">
  <tableColumns count="4">
    <tableColumn name="No." id="1"/>
    <tableColumn name="Pregunta" id="2"/>
    <tableColumn name="SI" id="3"/>
    <tableColumn name="NO " id="4"/>
  </tableColumns>
  <tableStyleInfo name="Hoja 1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_7" name="Table_7" id="7">
  <tableColumns count="4">
    <tableColumn name="No." id="1"/>
    <tableColumn name="Pregunta" id="2"/>
    <tableColumn name="SI" id="3"/>
    <tableColumn name="NO " id="4"/>
  </tableColumns>
  <tableStyleInfo name="Hoja 2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8" name="Table_8" id="8">
  <tableColumns count="4">
    <tableColumn name="No." id="1"/>
    <tableColumn name="Pregunta" id="2"/>
    <tableColumn name="SI" id="3"/>
    <tableColumn name="NO " id="4"/>
  </tableColumns>
  <tableStyleInfo name="Hoja 2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9" name="Table_9" id="9">
  <tableColumns count="4">
    <tableColumn name="No." id="1"/>
    <tableColumn name="Pregunta" id="2"/>
    <tableColumn name="SI" id="3"/>
    <tableColumn name="NO " id="4"/>
  </tableColumns>
  <tableStyleInfo name="Hoja 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51.14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44.57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  <c r="F6" s="5" t="s">
        <v>3</v>
      </c>
      <c r="G6" s="6"/>
      <c r="H6" s="6"/>
      <c r="I6" s="6"/>
      <c r="J6" s="6"/>
      <c r="K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1" t="s">
        <v>6</v>
      </c>
      <c r="H7" s="13"/>
      <c r="I7" s="12" t="s">
        <v>8</v>
      </c>
      <c r="J7" s="11"/>
      <c r="K7" s="12" t="s">
        <v>9</v>
      </c>
    </row>
    <row r="8" ht="60.0" customHeight="1">
      <c r="B8" s="14"/>
      <c r="C8" s="15"/>
      <c r="D8" s="16"/>
      <c r="E8" s="14"/>
      <c r="F8" s="14"/>
      <c r="G8" s="14"/>
      <c r="H8" s="13"/>
      <c r="I8" s="14"/>
      <c r="J8" s="14"/>
      <c r="K8" s="14"/>
    </row>
    <row r="9" ht="66.0" customHeight="1">
      <c r="B9" s="17">
        <v>1.0</v>
      </c>
      <c r="C9" s="18" t="s">
        <v>10</v>
      </c>
      <c r="D9" s="7"/>
      <c r="E9" s="19" t="s">
        <v>11</v>
      </c>
      <c r="F9" s="20" t="s">
        <v>12</v>
      </c>
      <c r="G9" s="21" t="s">
        <v>11</v>
      </c>
      <c r="H9" s="22"/>
      <c r="I9" s="20" t="s">
        <v>13</v>
      </c>
      <c r="J9" s="21" t="s">
        <v>11</v>
      </c>
      <c r="K9" s="23" t="s">
        <v>14</v>
      </c>
    </row>
    <row r="10" ht="66.0" customHeight="1">
      <c r="B10" s="17">
        <v>2.0</v>
      </c>
      <c r="C10" s="18" t="s">
        <v>15</v>
      </c>
      <c r="D10" s="7"/>
      <c r="E10" s="24" t="s">
        <v>16</v>
      </c>
      <c r="F10" s="25" t="s">
        <v>17</v>
      </c>
      <c r="G10" s="24" t="s">
        <v>16</v>
      </c>
      <c r="I10" s="25" t="s">
        <v>18</v>
      </c>
      <c r="J10" s="24" t="s">
        <v>16</v>
      </c>
      <c r="K10" s="25" t="s">
        <v>19</v>
      </c>
    </row>
    <row r="11" ht="66.0" customHeight="1">
      <c r="B11" s="17">
        <v>3.0</v>
      </c>
      <c r="C11" s="18" t="s">
        <v>20</v>
      </c>
      <c r="D11" s="7"/>
      <c r="E11" s="19" t="s">
        <v>11</v>
      </c>
      <c r="F11" s="25" t="s">
        <v>21</v>
      </c>
      <c r="G11" s="21" t="s">
        <v>11</v>
      </c>
      <c r="I11" s="25" t="s">
        <v>22</v>
      </c>
      <c r="J11" s="21" t="s">
        <v>11</v>
      </c>
      <c r="K11" s="25" t="s">
        <v>23</v>
      </c>
    </row>
    <row r="12" ht="66.0" customHeight="1">
      <c r="B12" s="17">
        <v>4.0</v>
      </c>
      <c r="C12" s="18" t="s">
        <v>24</v>
      </c>
      <c r="D12" s="7"/>
      <c r="E12" s="24" t="s">
        <v>16</v>
      </c>
      <c r="F12" s="26" t="s">
        <v>25</v>
      </c>
      <c r="G12" s="21" t="s">
        <v>11</v>
      </c>
      <c r="I12" s="26" t="s">
        <v>26</v>
      </c>
      <c r="J12" s="21" t="s">
        <v>11</v>
      </c>
      <c r="K12" s="26" t="s">
        <v>27</v>
      </c>
    </row>
    <row r="13" ht="75.0" customHeight="1">
      <c r="B13" s="17">
        <v>5.0</v>
      </c>
      <c r="C13" s="18" t="s">
        <v>28</v>
      </c>
      <c r="D13" s="7"/>
      <c r="E13" s="19" t="s">
        <v>11</v>
      </c>
      <c r="F13" s="26" t="s">
        <v>29</v>
      </c>
      <c r="G13" s="21" t="s">
        <v>11</v>
      </c>
      <c r="I13" s="26" t="s">
        <v>30</v>
      </c>
      <c r="J13" s="21" t="s">
        <v>11</v>
      </c>
      <c r="K13" s="26" t="s">
        <v>31</v>
      </c>
    </row>
    <row r="14" ht="66.0" customHeight="1">
      <c r="B14" s="17">
        <v>6.0</v>
      </c>
      <c r="C14" s="27" t="s">
        <v>32</v>
      </c>
      <c r="D14" s="7"/>
      <c r="E14" s="19" t="s">
        <v>11</v>
      </c>
      <c r="F14" s="26" t="s">
        <v>33</v>
      </c>
      <c r="G14" s="21" t="s">
        <v>11</v>
      </c>
      <c r="I14" s="26" t="s">
        <v>34</v>
      </c>
      <c r="J14" s="21" t="s">
        <v>11</v>
      </c>
      <c r="K14" s="26" t="s">
        <v>35</v>
      </c>
    </row>
    <row r="15" ht="66.0" customHeight="1">
      <c r="B15" s="17">
        <v>7.0</v>
      </c>
      <c r="C15" s="18" t="s">
        <v>36</v>
      </c>
      <c r="D15" s="7"/>
      <c r="E15" s="24" t="s">
        <v>16</v>
      </c>
      <c r="F15" s="26" t="s">
        <v>37</v>
      </c>
      <c r="G15" s="28" t="s">
        <v>16</v>
      </c>
      <c r="I15" s="26" t="s">
        <v>38</v>
      </c>
      <c r="J15" s="24" t="s">
        <v>16</v>
      </c>
      <c r="K15" s="26" t="s">
        <v>39</v>
      </c>
    </row>
    <row r="16" ht="66.0" customHeight="1">
      <c r="B16" s="17">
        <v>8.0</v>
      </c>
      <c r="C16" s="18" t="s">
        <v>40</v>
      </c>
      <c r="D16" s="7"/>
      <c r="E16" s="24" t="s">
        <v>16</v>
      </c>
      <c r="F16" s="26" t="s">
        <v>41</v>
      </c>
      <c r="G16" s="28" t="s">
        <v>16</v>
      </c>
      <c r="I16" s="26" t="s">
        <v>42</v>
      </c>
      <c r="J16" s="24" t="s">
        <v>16</v>
      </c>
      <c r="K16" s="26" t="s">
        <v>43</v>
      </c>
    </row>
    <row r="17" ht="77.25" customHeight="1">
      <c r="B17" s="17">
        <v>9.0</v>
      </c>
      <c r="C17" s="18" t="s">
        <v>44</v>
      </c>
      <c r="D17" s="7"/>
      <c r="E17" s="19" t="s">
        <v>11</v>
      </c>
      <c r="F17" s="29" t="s">
        <v>45</v>
      </c>
      <c r="G17" s="21" t="s">
        <v>11</v>
      </c>
      <c r="I17" s="25" t="s">
        <v>46</v>
      </c>
      <c r="J17" s="21" t="s">
        <v>11</v>
      </c>
      <c r="K17" s="29" t="s">
        <v>47</v>
      </c>
    </row>
    <row r="18" ht="71.25" customHeight="1">
      <c r="B18" s="17">
        <v>10.0</v>
      </c>
      <c r="C18" s="18" t="s">
        <v>48</v>
      </c>
      <c r="D18" s="7"/>
      <c r="E18" s="19" t="s">
        <v>11</v>
      </c>
      <c r="F18" s="26" t="s">
        <v>49</v>
      </c>
      <c r="G18" s="21" t="s">
        <v>11</v>
      </c>
      <c r="I18" s="26" t="s">
        <v>50</v>
      </c>
      <c r="J18" s="21" t="s">
        <v>11</v>
      </c>
      <c r="K18" s="26" t="s">
        <v>51</v>
      </c>
    </row>
    <row r="19" ht="66.0" customHeight="1">
      <c r="B19" s="17">
        <v>11.0</v>
      </c>
      <c r="C19" s="18" t="s">
        <v>52</v>
      </c>
      <c r="D19" s="7"/>
      <c r="E19" s="19" t="s">
        <v>11</v>
      </c>
      <c r="F19" s="26" t="s">
        <v>53</v>
      </c>
      <c r="G19" s="21" t="s">
        <v>11</v>
      </c>
      <c r="I19" s="26" t="s">
        <v>54</v>
      </c>
      <c r="J19" s="21" t="s">
        <v>11</v>
      </c>
      <c r="K19" s="26" t="s">
        <v>55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43"/>
    <col customWidth="1" min="3" max="3" width="16.14"/>
    <col customWidth="1" min="4" max="24" width="10.71"/>
  </cols>
  <sheetData>
    <row r="1" ht="51.0" customHeight="1">
      <c r="A1" s="30"/>
      <c r="B1" s="31" t="s">
        <v>1</v>
      </c>
      <c r="C1" s="32" t="s">
        <v>56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B2" s="33" t="s">
        <v>57</v>
      </c>
      <c r="C2" s="34">
        <v>46126.0</v>
      </c>
    </row>
    <row r="3" ht="14.25" customHeight="1">
      <c r="B3" s="33" t="s">
        <v>58</v>
      </c>
      <c r="C3" s="35" t="s">
        <v>59</v>
      </c>
    </row>
    <row r="4" ht="14.25" customHeight="1">
      <c r="B4" s="33" t="s">
        <v>60</v>
      </c>
      <c r="C4" s="35" t="s">
        <v>61</v>
      </c>
    </row>
    <row r="5" ht="14.25" customHeight="1"/>
    <row r="6" ht="30.75" customHeight="1">
      <c r="A6" s="36" t="s">
        <v>62</v>
      </c>
    </row>
    <row r="7" ht="30.75" customHeight="1">
      <c r="A7" s="37" t="s">
        <v>63</v>
      </c>
      <c r="B7" s="38" t="s">
        <v>64</v>
      </c>
      <c r="C7" s="38" t="s">
        <v>65</v>
      </c>
      <c r="D7" s="39" t="s">
        <v>66</v>
      </c>
    </row>
    <row r="8" ht="30.75" customHeight="1">
      <c r="A8" s="40">
        <v>1.0</v>
      </c>
      <c r="B8" s="41" t="s">
        <v>67</v>
      </c>
      <c r="C8" s="42" t="s">
        <v>68</v>
      </c>
      <c r="D8" s="43"/>
    </row>
    <row r="9" ht="30.75" customHeight="1">
      <c r="A9" s="40">
        <v>2.0</v>
      </c>
      <c r="B9" s="41" t="s">
        <v>69</v>
      </c>
      <c r="C9" s="44" t="s">
        <v>68</v>
      </c>
      <c r="D9" s="45"/>
    </row>
    <row r="10" ht="30.75" customHeight="1">
      <c r="A10" s="40">
        <v>3.0</v>
      </c>
      <c r="B10" s="41" t="s">
        <v>70</v>
      </c>
      <c r="C10" s="42" t="s">
        <v>68</v>
      </c>
      <c r="D10" s="43"/>
    </row>
    <row r="11" ht="30.75" customHeight="1">
      <c r="A11" s="40">
        <v>4.0</v>
      </c>
      <c r="B11" s="41" t="s">
        <v>71</v>
      </c>
      <c r="C11" s="42" t="s">
        <v>68</v>
      </c>
      <c r="D11" s="43"/>
    </row>
    <row r="12" ht="30.75" customHeight="1">
      <c r="A12" s="40">
        <v>5.0</v>
      </c>
      <c r="B12" s="41" t="s">
        <v>72</v>
      </c>
      <c r="C12" s="42" t="s">
        <v>68</v>
      </c>
      <c r="D12" s="43"/>
    </row>
    <row r="13" ht="30.75" customHeight="1">
      <c r="A13" s="40">
        <v>6.0</v>
      </c>
      <c r="B13" s="41" t="s">
        <v>73</v>
      </c>
      <c r="C13" s="42" t="s">
        <v>68</v>
      </c>
      <c r="D13" s="43"/>
    </row>
    <row r="14" ht="30.75" customHeight="1">
      <c r="A14" s="40">
        <v>7.0</v>
      </c>
      <c r="B14" s="41" t="s">
        <v>74</v>
      </c>
      <c r="C14" s="42" t="s">
        <v>68</v>
      </c>
      <c r="D14" s="43"/>
    </row>
    <row r="15">
      <c r="A15" s="40">
        <v>8.0</v>
      </c>
      <c r="B15" s="41" t="s">
        <v>75</v>
      </c>
      <c r="C15" s="42" t="s">
        <v>68</v>
      </c>
      <c r="D15" s="43"/>
    </row>
    <row r="16">
      <c r="A16" s="46">
        <v>9.0</v>
      </c>
      <c r="B16" s="47" t="s">
        <v>76</v>
      </c>
      <c r="C16" s="48"/>
      <c r="D16" s="48" t="s">
        <v>68</v>
      </c>
    </row>
    <row r="17" ht="20.25" customHeight="1">
      <c r="A17" s="49" t="s">
        <v>77</v>
      </c>
      <c r="C17" s="22">
        <f>COUNTA('MODELO LISTA DE COMPROBACION - '!$C$8:$C$16)</f>
        <v>8</v>
      </c>
      <c r="D17" s="22">
        <f>COUNTA('MODELO LISTA DE COMPROBACION - '!$D$8:$D$16)</f>
        <v>1</v>
      </c>
    </row>
    <row r="18" ht="20.25" customHeight="1">
      <c r="A18" s="49" t="s">
        <v>78</v>
      </c>
      <c r="C18" s="50">
        <f t="shared" ref="C18:D18" si="1">C17/9</f>
        <v>0.8888888889</v>
      </c>
      <c r="D18" s="50">
        <f t="shared" si="1"/>
        <v>0.1111111111</v>
      </c>
    </row>
    <row r="19" ht="14.25" customHeight="1">
      <c r="A19" s="49"/>
      <c r="B19" s="49"/>
      <c r="C19" s="50"/>
      <c r="D19" s="22"/>
    </row>
    <row r="20" ht="25.5" customHeight="1">
      <c r="A20" s="51" t="s">
        <v>79</v>
      </c>
      <c r="B20" s="52"/>
      <c r="C20" s="52"/>
      <c r="D20" s="52"/>
    </row>
    <row r="21" ht="20.25" customHeight="1">
      <c r="A21" s="53" t="s">
        <v>63</v>
      </c>
      <c r="B21" s="54" t="s">
        <v>64</v>
      </c>
      <c r="C21" s="55" t="s">
        <v>65</v>
      </c>
      <c r="D21" s="56" t="s">
        <v>66</v>
      </c>
    </row>
    <row r="22" ht="32.25" customHeight="1">
      <c r="A22" s="40">
        <v>1.0</v>
      </c>
      <c r="B22" s="41" t="s">
        <v>80</v>
      </c>
      <c r="C22" s="48" t="s">
        <v>68</v>
      </c>
      <c r="D22" s="43"/>
    </row>
    <row r="23">
      <c r="A23" s="40">
        <v>2.0</v>
      </c>
      <c r="B23" s="41" t="s">
        <v>81</v>
      </c>
      <c r="C23" s="48" t="s">
        <v>68</v>
      </c>
      <c r="D23" s="43"/>
    </row>
    <row r="24">
      <c r="A24" s="40">
        <v>3.0</v>
      </c>
      <c r="B24" s="41" t="s">
        <v>82</v>
      </c>
      <c r="C24" s="48" t="s">
        <v>68</v>
      </c>
      <c r="D24" s="43"/>
    </row>
    <row r="25" ht="34.5" customHeight="1">
      <c r="A25" s="40">
        <v>4.0</v>
      </c>
      <c r="B25" s="41" t="s">
        <v>83</v>
      </c>
      <c r="C25" s="48" t="s">
        <v>68</v>
      </c>
      <c r="D25" s="43"/>
    </row>
    <row r="26" ht="40.5" customHeight="1">
      <c r="A26" s="46">
        <v>5.0</v>
      </c>
      <c r="B26" s="47" t="s">
        <v>84</v>
      </c>
      <c r="C26" s="48" t="s">
        <v>68</v>
      </c>
      <c r="D26" s="57"/>
    </row>
    <row r="27" ht="24.75" customHeight="1">
      <c r="A27" s="49" t="s">
        <v>77</v>
      </c>
      <c r="C27" s="22">
        <f>COUNTA('MODELO LISTA DE COMPROBACION - '!$C$22:$C$26)</f>
        <v>5</v>
      </c>
      <c r="D27" s="22">
        <f>COUNTA('MODELO LISTA DE COMPROBACION - '!$D$22:$D$26)</f>
        <v>0</v>
      </c>
    </row>
    <row r="28" ht="28.5" customHeight="1">
      <c r="A28" s="49" t="s">
        <v>78</v>
      </c>
      <c r="C28" s="50">
        <f t="shared" ref="C28:D28" si="2">C27/5</f>
        <v>1</v>
      </c>
      <c r="D28" s="50">
        <f t="shared" si="2"/>
        <v>0</v>
      </c>
    </row>
    <row r="29" ht="14.25" customHeight="1">
      <c r="A29" s="49"/>
      <c r="B29" s="49"/>
      <c r="C29" s="50"/>
      <c r="D29" s="22"/>
    </row>
    <row r="30" ht="24.0" customHeight="1">
      <c r="A30" s="36" t="s">
        <v>85</v>
      </c>
    </row>
    <row r="31" ht="24.0" customHeight="1">
      <c r="A31" s="53" t="s">
        <v>63</v>
      </c>
      <c r="B31" s="54" t="s">
        <v>64</v>
      </c>
      <c r="C31" s="55" t="s">
        <v>65</v>
      </c>
      <c r="D31" s="56" t="s">
        <v>66</v>
      </c>
    </row>
    <row r="32" ht="37.5" customHeight="1">
      <c r="A32" s="40">
        <v>1.0</v>
      </c>
      <c r="B32" s="41" t="s">
        <v>86</v>
      </c>
      <c r="C32" s="48" t="s">
        <v>68</v>
      </c>
      <c r="D32" s="48"/>
    </row>
    <row r="33" ht="37.5" customHeight="1">
      <c r="A33" s="40">
        <v>2.0</v>
      </c>
      <c r="B33" s="41" t="s">
        <v>87</v>
      </c>
      <c r="C33" s="48" t="s">
        <v>68</v>
      </c>
      <c r="D33" s="48"/>
    </row>
    <row r="34" ht="37.5" customHeight="1">
      <c r="A34" s="46">
        <v>3.0</v>
      </c>
      <c r="B34" s="47" t="s">
        <v>88</v>
      </c>
      <c r="C34" s="48"/>
      <c r="D34" s="58" t="s">
        <v>68</v>
      </c>
    </row>
    <row r="35" ht="24.0" customHeight="1">
      <c r="A35" s="49" t="s">
        <v>77</v>
      </c>
      <c r="C35" s="22">
        <f>COUNTA('MODELO LISTA DE COMPROBACION - '!$C$32:$C$34)</f>
        <v>2</v>
      </c>
      <c r="D35" s="22">
        <f>COUNTA('MODELO LISTA DE COMPROBACION - '!$D$32:$D$34)</f>
        <v>1</v>
      </c>
    </row>
    <row r="36" ht="24.0" customHeight="1">
      <c r="A36" s="49" t="s">
        <v>78</v>
      </c>
      <c r="C36" s="50">
        <f t="shared" ref="C36:D36" si="3">C35/3</f>
        <v>0.6666666667</v>
      </c>
      <c r="D36" s="50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59" t="s">
        <v>89</v>
      </c>
    </row>
    <row r="41" ht="30.0" customHeight="1">
      <c r="B41" s="30" t="s">
        <v>90</v>
      </c>
      <c r="C41" s="22">
        <v>89.0</v>
      </c>
    </row>
    <row r="42" ht="30.0" customHeight="1">
      <c r="B42" s="30" t="s">
        <v>79</v>
      </c>
      <c r="C42" s="22">
        <v>100.0</v>
      </c>
    </row>
    <row r="43" ht="30.0" customHeight="1">
      <c r="B43" s="30" t="s">
        <v>85</v>
      </c>
      <c r="C43" s="60">
        <v>67.0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43"/>
    <col customWidth="1" min="3" max="3" width="16.14"/>
    <col customWidth="1" min="4" max="4" width="21.57"/>
    <col customWidth="1" min="5" max="24" width="10.71"/>
  </cols>
  <sheetData>
    <row r="1" ht="51.0" customHeight="1">
      <c r="A1" s="30"/>
      <c r="B1" s="31" t="s">
        <v>1</v>
      </c>
      <c r="C1" s="32" t="s">
        <v>56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B2" s="33" t="s">
        <v>57</v>
      </c>
      <c r="C2" s="34">
        <v>46126.0</v>
      </c>
    </row>
    <row r="3" ht="14.25" customHeight="1">
      <c r="B3" s="33" t="s">
        <v>58</v>
      </c>
      <c r="C3" s="35" t="s">
        <v>91</v>
      </c>
    </row>
    <row r="4" ht="14.25" customHeight="1">
      <c r="B4" s="33" t="s">
        <v>60</v>
      </c>
      <c r="C4" s="35" t="s">
        <v>92</v>
      </c>
    </row>
    <row r="5" ht="14.25" customHeight="1"/>
    <row r="6" ht="30.75" customHeight="1">
      <c r="A6" s="36" t="s">
        <v>62</v>
      </c>
    </row>
    <row r="7" ht="30.75" customHeight="1">
      <c r="A7" s="37" t="s">
        <v>63</v>
      </c>
      <c r="B7" s="38" t="s">
        <v>64</v>
      </c>
      <c r="C7" s="38" t="s">
        <v>65</v>
      </c>
      <c r="D7" s="39" t="s">
        <v>66</v>
      </c>
    </row>
    <row r="8" ht="30.75" customHeight="1">
      <c r="A8" s="40">
        <v>1.0</v>
      </c>
      <c r="B8" s="41" t="s">
        <v>67</v>
      </c>
      <c r="C8" s="42" t="s">
        <v>68</v>
      </c>
      <c r="D8" s="43"/>
    </row>
    <row r="9" ht="30.75" customHeight="1">
      <c r="A9" s="40">
        <v>2.0</v>
      </c>
      <c r="B9" s="41" t="s">
        <v>69</v>
      </c>
      <c r="C9" s="42" t="s">
        <v>68</v>
      </c>
      <c r="D9" s="43"/>
    </row>
    <row r="10" ht="30.75" customHeight="1">
      <c r="A10" s="40">
        <v>3.0</v>
      </c>
      <c r="B10" s="41" t="s">
        <v>70</v>
      </c>
      <c r="C10" s="42"/>
      <c r="D10" s="48" t="s">
        <v>68</v>
      </c>
    </row>
    <row r="11" ht="30.75" customHeight="1">
      <c r="A11" s="40">
        <v>4.0</v>
      </c>
      <c r="B11" s="41" t="s">
        <v>71</v>
      </c>
      <c r="C11" s="42" t="s">
        <v>68</v>
      </c>
      <c r="D11" s="43"/>
    </row>
    <row r="12" ht="30.75" customHeight="1">
      <c r="A12" s="40">
        <v>5.0</v>
      </c>
      <c r="B12" s="41" t="s">
        <v>72</v>
      </c>
      <c r="C12" s="42" t="s">
        <v>68</v>
      </c>
      <c r="D12" s="43"/>
    </row>
    <row r="13" ht="30.75" customHeight="1">
      <c r="A13" s="40">
        <v>6.0</v>
      </c>
      <c r="B13" s="41" t="s">
        <v>73</v>
      </c>
      <c r="C13" s="42" t="s">
        <v>68</v>
      </c>
      <c r="D13" s="43"/>
    </row>
    <row r="14" ht="30.75" customHeight="1">
      <c r="A14" s="40">
        <v>7.0</v>
      </c>
      <c r="B14" s="41" t="s">
        <v>74</v>
      </c>
      <c r="C14" s="42" t="s">
        <v>68</v>
      </c>
      <c r="D14" s="43"/>
    </row>
    <row r="15" ht="44.25" customHeight="1">
      <c r="A15" s="40">
        <v>8.0</v>
      </c>
      <c r="B15" s="41" t="s">
        <v>75</v>
      </c>
      <c r="C15" s="42" t="s">
        <v>68</v>
      </c>
      <c r="D15" s="43"/>
    </row>
    <row r="16" ht="64.5" customHeight="1">
      <c r="A16" s="46">
        <v>9.0</v>
      </c>
      <c r="B16" s="47" t="s">
        <v>76</v>
      </c>
      <c r="C16" s="48"/>
      <c r="D16" s="48" t="s">
        <v>68</v>
      </c>
    </row>
    <row r="17" ht="20.25" customHeight="1">
      <c r="A17" s="49" t="s">
        <v>77</v>
      </c>
      <c r="C17" s="22">
        <f>COUNTA('Hoja 1'!$C$8:$C$16)</f>
        <v>7</v>
      </c>
      <c r="D17" s="22">
        <f>COUNTA('Hoja 1'!$D$8:$D$16)</f>
        <v>2</v>
      </c>
    </row>
    <row r="18" ht="20.25" customHeight="1">
      <c r="A18" s="49" t="s">
        <v>78</v>
      </c>
      <c r="C18" s="50">
        <f t="shared" ref="C18:D18" si="1">C17/9</f>
        <v>0.7777777778</v>
      </c>
      <c r="D18" s="50">
        <f t="shared" si="1"/>
        <v>0.2222222222</v>
      </c>
    </row>
    <row r="19" ht="14.25" customHeight="1">
      <c r="A19" s="49"/>
      <c r="B19" s="49"/>
      <c r="C19" s="50"/>
      <c r="D19" s="22"/>
    </row>
    <row r="20" ht="25.5" customHeight="1">
      <c r="A20" s="51" t="s">
        <v>79</v>
      </c>
      <c r="B20" s="52"/>
      <c r="C20" s="52"/>
      <c r="D20" s="52"/>
    </row>
    <row r="21" ht="20.25" customHeight="1">
      <c r="A21" s="53" t="s">
        <v>63</v>
      </c>
      <c r="B21" s="54" t="s">
        <v>64</v>
      </c>
      <c r="C21" s="55" t="s">
        <v>65</v>
      </c>
      <c r="D21" s="56" t="s">
        <v>66</v>
      </c>
    </row>
    <row r="22" ht="32.25" customHeight="1">
      <c r="A22" s="40">
        <v>1.0</v>
      </c>
      <c r="B22" s="41" t="s">
        <v>80</v>
      </c>
      <c r="C22" s="48" t="s">
        <v>68</v>
      </c>
      <c r="D22" s="43"/>
    </row>
    <row r="23">
      <c r="A23" s="40">
        <v>2.0</v>
      </c>
      <c r="B23" s="41" t="s">
        <v>81</v>
      </c>
      <c r="C23" s="48" t="s">
        <v>68</v>
      </c>
      <c r="D23" s="43"/>
    </row>
    <row r="24">
      <c r="A24" s="40">
        <v>3.0</v>
      </c>
      <c r="B24" s="41" t="s">
        <v>82</v>
      </c>
      <c r="C24" s="48" t="s">
        <v>68</v>
      </c>
      <c r="D24" s="43"/>
    </row>
    <row r="25" ht="34.5" customHeight="1">
      <c r="A25" s="40">
        <v>4.0</v>
      </c>
      <c r="B25" s="41" t="s">
        <v>83</v>
      </c>
      <c r="C25" s="48" t="s">
        <v>68</v>
      </c>
      <c r="D25" s="43"/>
    </row>
    <row r="26" ht="40.5" customHeight="1">
      <c r="A26" s="46">
        <v>5.0</v>
      </c>
      <c r="B26" s="47" t="s">
        <v>84</v>
      </c>
      <c r="C26" s="48" t="s">
        <v>68</v>
      </c>
      <c r="D26" s="57"/>
    </row>
    <row r="27" ht="24.75" customHeight="1">
      <c r="A27" s="49" t="s">
        <v>77</v>
      </c>
      <c r="C27" s="22">
        <f>COUNTA('Hoja 1'!$C$22:$C$26)</f>
        <v>5</v>
      </c>
      <c r="D27" s="22">
        <f>COUNTA('Hoja 1'!$D$22:$D$26)</f>
        <v>0</v>
      </c>
    </row>
    <row r="28" ht="28.5" customHeight="1">
      <c r="A28" s="49" t="s">
        <v>78</v>
      </c>
      <c r="C28" s="50">
        <f t="shared" ref="C28:D28" si="2">C27/5</f>
        <v>1</v>
      </c>
      <c r="D28" s="50">
        <f t="shared" si="2"/>
        <v>0</v>
      </c>
    </row>
    <row r="29" ht="14.25" customHeight="1">
      <c r="A29" s="49"/>
      <c r="B29" s="49"/>
      <c r="C29" s="50"/>
      <c r="D29" s="22"/>
    </row>
    <row r="30" ht="24.0" customHeight="1">
      <c r="A30" s="36" t="s">
        <v>85</v>
      </c>
    </row>
    <row r="31" ht="24.0" customHeight="1">
      <c r="A31" s="53" t="s">
        <v>63</v>
      </c>
      <c r="B31" s="54" t="s">
        <v>64</v>
      </c>
      <c r="C31" s="55" t="s">
        <v>65</v>
      </c>
      <c r="D31" s="56" t="s">
        <v>66</v>
      </c>
    </row>
    <row r="32" ht="37.5" customHeight="1">
      <c r="A32" s="40">
        <v>1.0</v>
      </c>
      <c r="B32" s="41" t="s">
        <v>86</v>
      </c>
      <c r="C32" s="48" t="s">
        <v>68</v>
      </c>
      <c r="D32" s="48"/>
    </row>
    <row r="33" ht="37.5" customHeight="1">
      <c r="A33" s="40">
        <v>2.0</v>
      </c>
      <c r="B33" s="41" t="s">
        <v>87</v>
      </c>
      <c r="C33" s="48" t="s">
        <v>68</v>
      </c>
      <c r="D33" s="48"/>
    </row>
    <row r="34" ht="37.5" customHeight="1">
      <c r="A34" s="46">
        <v>3.0</v>
      </c>
      <c r="B34" s="47" t="s">
        <v>88</v>
      </c>
      <c r="C34" s="48" t="s">
        <v>68</v>
      </c>
      <c r="D34" s="48"/>
    </row>
    <row r="35" ht="24.0" customHeight="1">
      <c r="A35" s="49" t="s">
        <v>77</v>
      </c>
      <c r="C35" s="22">
        <f>COUNTA('Hoja 1'!$C$32:$C$34)</f>
        <v>3</v>
      </c>
      <c r="D35" s="22">
        <f>COUNTA('Hoja 1'!$D$32:$D$34)</f>
        <v>0</v>
      </c>
    </row>
    <row r="36" ht="24.0" customHeight="1">
      <c r="A36" s="49" t="s">
        <v>78</v>
      </c>
      <c r="C36" s="50">
        <f t="shared" ref="C36:D36" si="3">C35/3</f>
        <v>1</v>
      </c>
      <c r="D36" s="50">
        <f t="shared" si="3"/>
        <v>0</v>
      </c>
    </row>
    <row r="37" ht="14.25" customHeight="1"/>
    <row r="38" ht="14.25" customHeight="1"/>
    <row r="39" ht="14.25" customHeight="1"/>
    <row r="40" ht="14.25" customHeight="1">
      <c r="A40" s="59" t="s">
        <v>89</v>
      </c>
    </row>
    <row r="41" ht="30.0" customHeight="1">
      <c r="B41" s="30" t="s">
        <v>90</v>
      </c>
      <c r="C41" s="22">
        <v>89.0</v>
      </c>
    </row>
    <row r="42" ht="30.0" customHeight="1">
      <c r="B42" s="30" t="s">
        <v>79</v>
      </c>
      <c r="C42" s="22">
        <v>100.0</v>
      </c>
    </row>
    <row r="43" ht="30.0" customHeight="1">
      <c r="B43" s="30" t="s">
        <v>85</v>
      </c>
      <c r="C43" s="22">
        <v>100.0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D10 D16 A32:D34">
    <cfRule type="containsText" dxfId="8" priority="1" operator="containsText" text="X">
      <formula>NOT(ISERROR(SEARCH(("X"),(D10))))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D10 D16 C32:D34">
    <cfRule type="containsText" dxfId="9" priority="8" operator="containsText" text="X">
      <formula>NOT(ISERROR(SEARCH(("X"),(D10))))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86"/>
    <col customWidth="1" min="3" max="3" width="16.14"/>
    <col customWidth="1" min="4" max="4" width="14.0"/>
    <col customWidth="1" min="5" max="24" width="10.71"/>
  </cols>
  <sheetData>
    <row r="1" ht="51.0" customHeight="1">
      <c r="A1" s="30"/>
      <c r="B1" s="31" t="s">
        <v>1</v>
      </c>
      <c r="C1" s="32" t="s">
        <v>56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7.25" customHeight="1">
      <c r="B2" s="33" t="s">
        <v>57</v>
      </c>
      <c r="C2" s="34">
        <v>46126.0</v>
      </c>
    </row>
    <row r="3" ht="20.25" customHeight="1">
      <c r="B3" s="33" t="s">
        <v>58</v>
      </c>
      <c r="C3" s="35" t="s">
        <v>93</v>
      </c>
    </row>
    <row r="4" ht="18.75" customHeight="1">
      <c r="B4" s="33" t="s">
        <v>60</v>
      </c>
      <c r="C4" s="35" t="s">
        <v>9</v>
      </c>
    </row>
    <row r="5" ht="14.25" customHeight="1"/>
    <row r="6" ht="30.75" customHeight="1">
      <c r="A6" s="36" t="s">
        <v>62</v>
      </c>
    </row>
    <row r="7" ht="30.75" customHeight="1">
      <c r="A7" s="37" t="s">
        <v>63</v>
      </c>
      <c r="B7" s="38" t="s">
        <v>64</v>
      </c>
      <c r="C7" s="38" t="s">
        <v>65</v>
      </c>
      <c r="D7" s="39" t="s">
        <v>66</v>
      </c>
    </row>
    <row r="8" ht="30.75" customHeight="1">
      <c r="A8" s="40">
        <v>1.0</v>
      </c>
      <c r="B8" s="41" t="s">
        <v>67</v>
      </c>
      <c r="C8" s="42" t="s">
        <v>68</v>
      </c>
      <c r="D8" s="43"/>
    </row>
    <row r="9" ht="30.75" customHeight="1">
      <c r="A9" s="40">
        <v>2.0</v>
      </c>
      <c r="B9" s="41" t="s">
        <v>69</v>
      </c>
      <c r="C9" s="42" t="s">
        <v>68</v>
      </c>
      <c r="D9" s="43"/>
    </row>
    <row r="10" ht="41.25" customHeight="1">
      <c r="A10" s="40">
        <v>3.0</v>
      </c>
      <c r="B10" s="41" t="s">
        <v>70</v>
      </c>
      <c r="C10" s="42" t="s">
        <v>68</v>
      </c>
      <c r="D10" s="43"/>
    </row>
    <row r="11" ht="30.75" customHeight="1">
      <c r="A11" s="40">
        <v>4.0</v>
      </c>
      <c r="B11" s="41" t="s">
        <v>71</v>
      </c>
      <c r="C11" s="42" t="s">
        <v>68</v>
      </c>
      <c r="D11" s="43"/>
    </row>
    <row r="12" ht="30.75" customHeight="1">
      <c r="A12" s="40">
        <v>5.0</v>
      </c>
      <c r="B12" s="41" t="s">
        <v>72</v>
      </c>
      <c r="C12" s="42" t="s">
        <v>68</v>
      </c>
      <c r="D12" s="43"/>
    </row>
    <row r="13" ht="30.75" customHeight="1">
      <c r="A13" s="40">
        <v>6.0</v>
      </c>
      <c r="B13" s="41" t="s">
        <v>73</v>
      </c>
      <c r="C13" s="42" t="s">
        <v>68</v>
      </c>
      <c r="D13" s="43"/>
    </row>
    <row r="14" ht="30.75" customHeight="1">
      <c r="A14" s="40">
        <v>7.0</v>
      </c>
      <c r="B14" s="41" t="s">
        <v>74</v>
      </c>
      <c r="C14" s="42" t="s">
        <v>68</v>
      </c>
      <c r="D14" s="43"/>
    </row>
    <row r="15" ht="30.75" customHeight="1">
      <c r="A15" s="40">
        <v>8.0</v>
      </c>
      <c r="B15" s="41" t="s">
        <v>75</v>
      </c>
      <c r="C15" s="42" t="s">
        <v>68</v>
      </c>
      <c r="D15" s="43"/>
    </row>
    <row r="16" ht="54.75" customHeight="1">
      <c r="A16" s="46">
        <v>9.0</v>
      </c>
      <c r="B16" s="47" t="s">
        <v>76</v>
      </c>
      <c r="C16" s="48"/>
      <c r="D16" s="48" t="s">
        <v>68</v>
      </c>
    </row>
    <row r="17" ht="20.25" customHeight="1">
      <c r="A17" s="49" t="s">
        <v>77</v>
      </c>
      <c r="C17" s="22">
        <f>COUNTA('Hoja 2'!$C$8:$C$16)</f>
        <v>8</v>
      </c>
      <c r="D17" s="22">
        <f>COUNTA('Hoja 2'!$D$8:$D$16)</f>
        <v>1</v>
      </c>
    </row>
    <row r="18" ht="20.25" customHeight="1">
      <c r="A18" s="49" t="s">
        <v>78</v>
      </c>
      <c r="C18" s="50">
        <f t="shared" ref="C18:D18" si="1">C17/9</f>
        <v>0.8888888889</v>
      </c>
      <c r="D18" s="50">
        <f t="shared" si="1"/>
        <v>0.1111111111</v>
      </c>
    </row>
    <row r="19" ht="14.25" customHeight="1">
      <c r="A19" s="49"/>
      <c r="B19" s="49"/>
      <c r="C19" s="50"/>
      <c r="D19" s="22"/>
    </row>
    <row r="20" ht="25.5" customHeight="1">
      <c r="A20" s="51" t="s">
        <v>79</v>
      </c>
      <c r="B20" s="52"/>
      <c r="C20" s="52"/>
      <c r="D20" s="52"/>
    </row>
    <row r="21" ht="20.25" customHeight="1">
      <c r="A21" s="53" t="s">
        <v>63</v>
      </c>
      <c r="B21" s="54" t="s">
        <v>64</v>
      </c>
      <c r="C21" s="55" t="s">
        <v>65</v>
      </c>
      <c r="D21" s="56" t="s">
        <v>66</v>
      </c>
    </row>
    <row r="22" ht="32.25" customHeight="1">
      <c r="A22" s="40">
        <v>1.0</v>
      </c>
      <c r="B22" s="41" t="s">
        <v>80</v>
      </c>
      <c r="C22" s="48" t="s">
        <v>68</v>
      </c>
      <c r="D22" s="43"/>
    </row>
    <row r="23">
      <c r="A23" s="40">
        <v>2.0</v>
      </c>
      <c r="B23" s="41" t="s">
        <v>81</v>
      </c>
      <c r="C23" s="48" t="s">
        <v>68</v>
      </c>
      <c r="D23" s="43"/>
    </row>
    <row r="24">
      <c r="A24" s="40">
        <v>3.0</v>
      </c>
      <c r="B24" s="41" t="s">
        <v>82</v>
      </c>
      <c r="C24" s="48" t="s">
        <v>68</v>
      </c>
      <c r="D24" s="43"/>
    </row>
    <row r="25" ht="34.5" customHeight="1">
      <c r="A25" s="40">
        <v>4.0</v>
      </c>
      <c r="B25" s="41" t="s">
        <v>83</v>
      </c>
      <c r="C25" s="48" t="s">
        <v>68</v>
      </c>
      <c r="D25" s="43"/>
    </row>
    <row r="26" ht="40.5" customHeight="1">
      <c r="A26" s="46">
        <v>5.0</v>
      </c>
      <c r="B26" s="47" t="s">
        <v>84</v>
      </c>
      <c r="C26" s="48" t="s">
        <v>68</v>
      </c>
      <c r="D26" s="57"/>
    </row>
    <row r="27" ht="24.75" customHeight="1">
      <c r="A27" s="49" t="s">
        <v>77</v>
      </c>
      <c r="C27" s="22">
        <f>COUNTA('Hoja 2'!$C$22:$C$26)</f>
        <v>5</v>
      </c>
      <c r="D27" s="22">
        <f>COUNTA('Hoja 2'!$D$22:$D$26)</f>
        <v>0</v>
      </c>
    </row>
    <row r="28" ht="28.5" customHeight="1">
      <c r="A28" s="49" t="s">
        <v>78</v>
      </c>
      <c r="C28" s="50">
        <f t="shared" ref="C28:D28" si="2">C27/5</f>
        <v>1</v>
      </c>
      <c r="D28" s="50">
        <f t="shared" si="2"/>
        <v>0</v>
      </c>
    </row>
    <row r="29" ht="14.25" customHeight="1">
      <c r="A29" s="49"/>
      <c r="B29" s="49"/>
      <c r="C29" s="50"/>
      <c r="D29" s="22"/>
    </row>
    <row r="30" ht="24.0" customHeight="1">
      <c r="A30" s="36" t="s">
        <v>85</v>
      </c>
    </row>
    <row r="31" ht="24.0" customHeight="1">
      <c r="A31" s="53" t="s">
        <v>63</v>
      </c>
      <c r="B31" s="54" t="s">
        <v>64</v>
      </c>
      <c r="C31" s="55" t="s">
        <v>65</v>
      </c>
      <c r="D31" s="56" t="s">
        <v>66</v>
      </c>
    </row>
    <row r="32" ht="37.5" customHeight="1">
      <c r="A32" s="40">
        <v>1.0</v>
      </c>
      <c r="B32" s="41" t="s">
        <v>86</v>
      </c>
      <c r="C32" s="48" t="s">
        <v>68</v>
      </c>
      <c r="D32" s="48"/>
    </row>
    <row r="33" ht="37.5" customHeight="1">
      <c r="A33" s="40">
        <v>2.0</v>
      </c>
      <c r="B33" s="41" t="s">
        <v>87</v>
      </c>
      <c r="C33" s="48" t="s">
        <v>68</v>
      </c>
      <c r="D33" s="48"/>
    </row>
    <row r="34" ht="37.5" customHeight="1">
      <c r="A34" s="46">
        <v>3.0</v>
      </c>
      <c r="B34" s="47" t="s">
        <v>88</v>
      </c>
      <c r="C34" s="48"/>
      <c r="D34" s="48" t="s">
        <v>68</v>
      </c>
    </row>
    <row r="35" ht="24.0" customHeight="1">
      <c r="A35" s="49" t="s">
        <v>77</v>
      </c>
      <c r="C35" s="22">
        <f>COUNTA('Hoja 2'!$C$32:$C$34)</f>
        <v>2</v>
      </c>
      <c r="D35" s="22">
        <f>COUNTA('Hoja 2'!$D$32:$D$34)</f>
        <v>1</v>
      </c>
    </row>
    <row r="36" ht="24.0" customHeight="1">
      <c r="A36" s="49" t="s">
        <v>78</v>
      </c>
      <c r="C36" s="50">
        <f t="shared" ref="C36:D36" si="3">C35/3</f>
        <v>0.6666666667</v>
      </c>
      <c r="D36" s="50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59" t="s">
        <v>89</v>
      </c>
    </row>
    <row r="41" ht="30.0" customHeight="1">
      <c r="B41" s="30" t="s">
        <v>90</v>
      </c>
      <c r="C41" s="22">
        <v>89.0</v>
      </c>
    </row>
    <row r="42" ht="30.0" customHeight="1">
      <c r="B42" s="30" t="s">
        <v>79</v>
      </c>
      <c r="C42" s="22">
        <v>100.0</v>
      </c>
    </row>
    <row r="43" ht="30.0" customHeight="1">
      <c r="B43" s="30" t="s">
        <v>85</v>
      </c>
      <c r="C43" s="60">
        <v>67.0</v>
      </c>
    </row>
    <row r="44" ht="14.25" customHeight="1">
      <c r="C44" s="22"/>
    </row>
    <row r="45" ht="14.25" customHeight="1">
      <c r="C45" s="2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1" t="s">
        <v>94</v>
      </c>
      <c r="B1" s="61" t="s">
        <v>95</v>
      </c>
    </row>
    <row r="2">
      <c r="A2" s="62" t="s">
        <v>96</v>
      </c>
      <c r="B2" s="63" t="s">
        <v>97</v>
      </c>
    </row>
    <row r="3">
      <c r="A3" s="13" t="s">
        <v>98</v>
      </c>
      <c r="B3" s="63" t="s">
        <v>99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1" t="s">
        <v>94</v>
      </c>
      <c r="B1" s="61" t="s">
        <v>95</v>
      </c>
    </row>
    <row r="2">
      <c r="A2" s="62" t="s">
        <v>96</v>
      </c>
      <c r="B2" s="63" t="s">
        <v>97</v>
      </c>
    </row>
    <row r="3">
      <c r="A3" s="13" t="s">
        <v>98</v>
      </c>
      <c r="B3" s="63" t="s">
        <v>99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1" t="s">
        <v>94</v>
      </c>
      <c r="B1" s="61" t="s">
        <v>95</v>
      </c>
    </row>
    <row r="2">
      <c r="A2" s="63" t="s">
        <v>100</v>
      </c>
      <c r="B2" s="63" t="s">
        <v>101</v>
      </c>
    </row>
    <row r="3">
      <c r="A3" s="63" t="s">
        <v>102</v>
      </c>
      <c r="B3" s="63" t="s">
        <v>103</v>
      </c>
    </row>
    <row r="4" ht="44.25" customHeight="1">
      <c r="A4" s="63" t="s">
        <v>104</v>
      </c>
      <c r="B4" s="63" t="s">
        <v>105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