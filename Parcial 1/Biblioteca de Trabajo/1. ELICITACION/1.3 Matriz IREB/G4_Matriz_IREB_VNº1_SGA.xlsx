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jean\Desktop\Universidad ESPE\Sexto Semestre Ing.Software\ADSW\JeancarloSanti_30723_G4_ADSW\Parcial 1\Talleres\"/>
    </mc:Choice>
  </mc:AlternateContent>
  <xr:revisionPtr revIDLastSave="0" documentId="13_ncr:1_{82242E52-44E5-4A9E-A210-EED6E5C87629}" xr6:coauthVersionLast="47" xr6:coauthVersionMax="47" xr10:uidLastSave="{00000000-0000-0000-0000-000000000000}"/>
  <bookViews>
    <workbookView xWindow="-110" yWindow="-110" windowWidth="25820" windowHeight="15500" firstSheet="1" activeTab="1" xr2:uid="{00000000-000D-0000-FFFF-FFFF00000000}"/>
  </bookViews>
  <sheets>
    <sheet name="Matriz Ckeck LIst" sheetId="1" r:id="rId1"/>
    <sheet name="MODELO LISTA DE COMPROBACION - " sheetId="2" r:id="rId2"/>
    <sheet name="Hoja 1" sheetId="3" r:id="rId3"/>
    <sheet name="Hoja 2" sheetId="4" r:id="rId4"/>
    <sheet name="RECOMENDACIONES - CU001" sheetId="5" r:id="rId5"/>
    <sheet name="RECOMENDACIONES - CU002" sheetId="6" r:id="rId6"/>
    <sheet name="RECOMENDACIONES - CU003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5" i="4" l="1"/>
  <c r="D36" i="4" s="1"/>
  <c r="C35" i="4"/>
  <c r="C36" i="4" s="1"/>
  <c r="D27" i="4"/>
  <c r="D28" i="4" s="1"/>
  <c r="C27" i="4"/>
  <c r="C28" i="4" s="1"/>
  <c r="D17" i="4"/>
  <c r="D18" i="4" s="1"/>
  <c r="C17" i="4"/>
  <c r="C18" i="4" s="1"/>
  <c r="D35" i="3"/>
  <c r="D36" i="3" s="1"/>
  <c r="C35" i="3"/>
  <c r="C36" i="3" s="1"/>
  <c r="D27" i="3"/>
  <c r="D28" i="3" s="1"/>
  <c r="C27" i="3"/>
  <c r="C28" i="3" s="1"/>
  <c r="D17" i="3"/>
  <c r="D18" i="3" s="1"/>
  <c r="C17" i="3"/>
  <c r="C18" i="3" s="1"/>
  <c r="D35" i="2"/>
  <c r="D36" i="2" s="1"/>
  <c r="C35" i="2"/>
  <c r="C36" i="2" s="1"/>
  <c r="D27" i="2"/>
  <c r="D28" i="2" s="1"/>
  <c r="C27" i="2"/>
  <c r="C28" i="2" s="1"/>
  <c r="D17" i="2"/>
  <c r="D18" i="2" s="1"/>
  <c r="C17" i="2"/>
  <c r="C1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7" authorId="0" shapeId="0" xr:uid="{00000000-0006-0000-0000-000001000000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F7" authorId="0" shapeId="0" xr:uid="{00000000-0006-0000-0000-000002000000}">
      <text>
        <r>
          <rPr>
            <sz val="11"/>
            <color theme="1"/>
            <rFont val="Calibri"/>
            <scheme val="minor"/>
          </rPr>
          <t>jeny ruiz:
La información contenida en memoria se utiliza para actualizar los campos de la base de datos.</t>
        </r>
      </text>
    </comment>
    <comment ref="G7" authorId="0" shapeId="0" xr:uid="{00000000-0006-0000-0000-000003000000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I7" authorId="0" shapeId="0" xr:uid="{00000000-0006-0000-0000-000004000000}">
      <text>
        <r>
          <rPr>
            <sz val="11"/>
            <color theme="1"/>
            <rFont val="Calibri"/>
            <scheme val="minor"/>
          </rPr>
          <t>jeny ruiz:
Se guarda en un archivo Excel los registros que dieron un problema en la actualización.</t>
        </r>
      </text>
    </comment>
    <comment ref="J7" authorId="0" shapeId="0" xr:uid="{00000000-0006-0000-0000-000005000000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K7" authorId="0" shapeId="0" xr:uid="{00000000-0006-0000-0000-000006000000}">
      <text>
        <r>
          <rPr>
            <sz val="11"/>
            <color theme="1"/>
            <rFont val="Calibri"/>
            <scheme val="minor"/>
          </rPr>
          <t>jeny ruiz:
jeny ruiz:
Posterior a la actualización, se guardaran automáticamente el nombre de usuario, fecha, hora, registro antiguo, registro nuevo.</t>
        </r>
      </text>
    </comment>
    <comment ref="C9" authorId="0" shapeId="0" xr:uid="{00000000-0006-0000-0000-000007000000}">
      <text>
        <r>
          <rPr>
            <sz val="11"/>
            <color theme="1"/>
            <rFont val="Calibri"/>
            <scheme val="minor"/>
          </rPr>
          <t xml:space="preserve">jeny ruiz:
Todos los interesados reconocen que el  requisito es correcto y relevante
</t>
        </r>
      </text>
    </comment>
    <comment ref="F9" authorId="0" shapeId="0" xr:uid="{00000000-0006-0000-0000-000008000000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I9" authorId="0" shapeId="0" xr:uid="{00000000-0006-0000-0000-000009000000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K9" authorId="0" shapeId="0" xr:uid="{00000000-0006-0000-0000-00000A000000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C10" authorId="0" shapeId="0" xr:uid="{00000000-0006-0000-0000-00000B000000}">
      <text>
        <r>
          <rPr>
            <sz val="11"/>
            <color theme="1"/>
            <rFont val="Calibri"/>
            <scheme val="minor"/>
          </rPr>
          <t>jeny ruiz:
Ponderado por importancia o prioridad</t>
        </r>
      </text>
    </comment>
    <comment ref="C11" authorId="0" shapeId="0" xr:uid="{00000000-0006-0000-0000-00000C000000}">
      <text>
        <r>
          <rPr>
            <sz val="11"/>
            <color theme="1"/>
            <rFont val="Calibri"/>
            <scheme val="minor"/>
          </rPr>
          <t>jeny ruiz:
Todos los lectores comprenden de la misma manera, sólo una interpretación</t>
        </r>
      </text>
    </comment>
    <comment ref="C12" authorId="0" shapeId="0" xr:uid="{00000000-0006-0000-0000-00000D000000}">
      <text>
        <r>
          <rPr>
            <sz val="11"/>
            <color theme="1"/>
            <rFont val="Calibri"/>
            <scheme val="minor"/>
          </rPr>
          <t>jeny ruiz:
Toda nueva información  ha sido incorporada</t>
        </r>
      </text>
    </comment>
    <comment ref="C13" authorId="0" shapeId="0" xr:uid="{00000000-0006-0000-0000-00000E000000}">
      <text>
        <r>
          <rPr>
            <sz val="11"/>
            <color theme="1"/>
            <rFont val="Calibri"/>
            <scheme val="minor"/>
          </rPr>
          <t xml:space="preserve">jeny ruiz:
Refleja las espectativas  del implicado
</t>
        </r>
      </text>
    </comment>
    <comment ref="C14" authorId="0" shapeId="0" xr:uid="{00000000-0006-0000-0000-00000F000000}">
      <text>
        <r>
          <rPr>
            <sz val="11"/>
            <color theme="1"/>
            <rFont val="Calibri"/>
            <scheme val="minor"/>
          </rPr>
          <t xml:space="preserve">jeny ruiz:
Sin contradicciones
</t>
        </r>
      </text>
    </comment>
    <comment ref="C15" authorId="0" shapeId="0" xr:uid="{00000000-0006-0000-0000-000010000000}">
      <text>
        <r>
          <rPr>
            <sz val="11"/>
            <color theme="1"/>
            <rFont val="Calibri"/>
            <scheme val="minor"/>
          </rPr>
          <t>jeny ruiz:
Su cumplimiento o no cumplimiento puede der probado con un esfuerzo razonable</t>
        </r>
      </text>
    </comment>
    <comment ref="C16" authorId="0" shapeId="0" xr:uid="{00000000-0006-0000-0000-000011000000}">
      <text>
        <r>
          <rPr>
            <sz val="11"/>
            <color theme="1"/>
            <rFont val="Calibri"/>
            <scheme val="minor"/>
          </rPr>
          <t>jeny ruiz:
Puede ser implementado  y desarrollado en las condiciones actuales(tiempo, Presupuest,, orgtanizaciòn, ect)</t>
        </r>
      </text>
    </comment>
    <comment ref="C17" authorId="0" shapeId="0" xr:uid="{00000000-0006-0000-0000-000012000000}">
      <text>
        <r>
          <rPr>
            <sz val="11"/>
            <color theme="1"/>
            <rFont val="Calibri"/>
            <scheme val="minor"/>
          </rPr>
          <t>jeny ruiz:
El origen del requisito y sus relaciones con otros requisitos  están claros.</t>
        </r>
      </text>
    </comment>
    <comment ref="C18" authorId="0" shapeId="0" xr:uid="{00000000-0006-0000-0000-000013000000}">
      <text>
        <r>
          <rPr>
            <sz val="11"/>
            <color theme="1"/>
            <rFont val="Calibri"/>
            <scheme val="minor"/>
          </rPr>
          <t>jeny ruiz:
Trata todos los asuntos relevantes</t>
        </r>
      </text>
    </comment>
    <comment ref="C19" authorId="0" shapeId="0" xr:uid="{00000000-0006-0000-0000-000014000000}">
      <text>
        <r>
          <rPr>
            <sz val="11"/>
            <color theme="1"/>
            <rFont val="Calibri"/>
            <scheme val="minor"/>
          </rPr>
          <t>jeny ruiz:
Para todos los interesados dependiendo  de la fase del proyecto podrían estar involucrados  distintos implicados,(Glosario de tèrminos)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0100-000001000000}">
      <text>
        <r>
          <rPr>
            <sz val="11"/>
            <color theme="1"/>
            <rFont val="Calibri"/>
            <scheme val="minor"/>
          </rPr>
          <t>ESPE:
COMPLETITUD DOCUMENTO</t>
        </r>
      </text>
    </comment>
    <comment ref="B9" authorId="0" shapeId="0" xr:uid="{00000000-0006-0000-0100-000002000000}">
      <text>
        <r>
          <rPr>
            <sz val="11"/>
            <color theme="1"/>
            <rFont val="Calibri"/>
            <scheme val="minor"/>
          </rPr>
          <t xml:space="preserve">ESPE:
COMPLETITUD REQUISITO INDIVIDUAL
</t>
        </r>
      </text>
    </comment>
    <comment ref="B10" authorId="0" shapeId="0" xr:uid="{00000000-0006-0000-0100-000003000000}">
      <text>
        <r>
          <rPr>
            <sz val="11"/>
            <color theme="1"/>
            <rFont val="Calibri"/>
            <scheme val="minor"/>
          </rPr>
          <t>ESPE:
TRAZABILIDAD</t>
        </r>
      </text>
    </comment>
    <comment ref="B11" authorId="0" shapeId="0" xr:uid="{00000000-0006-0000-0100-000004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2" authorId="0" shapeId="0" xr:uid="{00000000-0006-0000-0100-000005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3" authorId="0" shapeId="0" xr:uid="{00000000-0006-0000-0100-000006000000}">
      <text>
        <r>
          <rPr>
            <sz val="11"/>
            <color theme="1"/>
            <rFont val="Calibri"/>
            <scheme val="minor"/>
          </rPr>
          <t xml:space="preserve">ESPE:
CORRECCION
</t>
        </r>
      </text>
    </comment>
    <comment ref="B14" authorId="0" shapeId="0" xr:uid="{00000000-0006-0000-0100-000007000000}">
      <text>
        <r>
          <rPr>
            <sz val="11"/>
            <color theme="1"/>
            <rFont val="Calibri"/>
            <scheme val="minor"/>
          </rPr>
          <t>ESPE:
CONSISTENCIA</t>
        </r>
      </text>
    </comment>
    <comment ref="B15" authorId="0" shapeId="0" xr:uid="{00000000-0006-0000-0100-000008000000}">
      <text>
        <r>
          <rPr>
            <sz val="11"/>
            <color theme="1"/>
            <rFont val="Calibri"/>
            <scheme val="minor"/>
          </rPr>
          <t xml:space="preserve">ESPE:
NECESIDAD
</t>
        </r>
      </text>
    </comment>
    <comment ref="B16" authorId="0" shapeId="0" xr:uid="{00000000-0006-0000-0100-000009000000}">
      <text>
        <r>
          <rPr>
            <sz val="11"/>
            <color theme="1"/>
            <rFont val="Calibri"/>
            <scheme val="minor"/>
          </rPr>
          <t xml:space="preserve">ESPE:
verificable 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0200-000001000000}">
      <text>
        <r>
          <rPr>
            <sz val="11"/>
            <color theme="1"/>
            <rFont val="Calibri"/>
            <scheme val="minor"/>
          </rPr>
          <t>ESPE:
COMPLETITUD DOCUMENTO</t>
        </r>
      </text>
    </comment>
    <comment ref="B9" authorId="0" shapeId="0" xr:uid="{00000000-0006-0000-0200-000002000000}">
      <text>
        <r>
          <rPr>
            <sz val="11"/>
            <color theme="1"/>
            <rFont val="Calibri"/>
            <scheme val="minor"/>
          </rPr>
          <t xml:space="preserve">ESPE:
COMPLETITUD REQUISITO INDIVIDUAL
</t>
        </r>
      </text>
    </comment>
    <comment ref="B10" authorId="0" shapeId="0" xr:uid="{00000000-0006-0000-0200-000003000000}">
      <text>
        <r>
          <rPr>
            <sz val="11"/>
            <color theme="1"/>
            <rFont val="Calibri"/>
            <scheme val="minor"/>
          </rPr>
          <t>ESPE:
TRAZABILIDAD</t>
        </r>
      </text>
    </comment>
    <comment ref="B11" authorId="0" shapeId="0" xr:uid="{00000000-0006-0000-0200-000004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2" authorId="0" shapeId="0" xr:uid="{00000000-0006-0000-0200-000005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3" authorId="0" shapeId="0" xr:uid="{00000000-0006-0000-0200-000006000000}">
      <text>
        <r>
          <rPr>
            <sz val="11"/>
            <color theme="1"/>
            <rFont val="Calibri"/>
            <scheme val="minor"/>
          </rPr>
          <t xml:space="preserve">ESPE:
CORRECCION
</t>
        </r>
      </text>
    </comment>
    <comment ref="B14" authorId="0" shapeId="0" xr:uid="{00000000-0006-0000-0200-000007000000}">
      <text>
        <r>
          <rPr>
            <sz val="11"/>
            <color theme="1"/>
            <rFont val="Calibri"/>
            <scheme val="minor"/>
          </rPr>
          <t>ESPE:
CONSISTENCIA</t>
        </r>
      </text>
    </comment>
    <comment ref="B15" authorId="0" shapeId="0" xr:uid="{00000000-0006-0000-0200-000008000000}">
      <text>
        <r>
          <rPr>
            <sz val="11"/>
            <color theme="1"/>
            <rFont val="Calibri"/>
            <scheme val="minor"/>
          </rPr>
          <t xml:space="preserve">ESPE:
NECESIDAD
</t>
        </r>
      </text>
    </comment>
    <comment ref="B16" authorId="0" shapeId="0" xr:uid="{00000000-0006-0000-0200-000009000000}">
      <text>
        <r>
          <rPr>
            <sz val="11"/>
            <color theme="1"/>
            <rFont val="Calibri"/>
            <scheme val="minor"/>
          </rPr>
          <t xml:space="preserve">ESPE:
verificable 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0300-000001000000}">
      <text>
        <r>
          <rPr>
            <sz val="11"/>
            <color theme="1"/>
            <rFont val="Calibri"/>
            <scheme val="minor"/>
          </rPr>
          <t>ESPE:
COMPLETITUD DOCUMENTO</t>
        </r>
      </text>
    </comment>
    <comment ref="B9" authorId="0" shapeId="0" xr:uid="{00000000-0006-0000-0300-000002000000}">
      <text>
        <r>
          <rPr>
            <sz val="11"/>
            <color theme="1"/>
            <rFont val="Calibri"/>
            <scheme val="minor"/>
          </rPr>
          <t xml:space="preserve">ESPE:
COMPLETITUD REQUISITO INDIVIDUAL
</t>
        </r>
      </text>
    </comment>
    <comment ref="B10" authorId="0" shapeId="0" xr:uid="{00000000-0006-0000-0300-000003000000}">
      <text>
        <r>
          <rPr>
            <sz val="11"/>
            <color theme="1"/>
            <rFont val="Calibri"/>
            <scheme val="minor"/>
          </rPr>
          <t>ESPE:
TRAZABILIDAD</t>
        </r>
      </text>
    </comment>
    <comment ref="B11" authorId="0" shapeId="0" xr:uid="{00000000-0006-0000-0300-000004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2" authorId="0" shapeId="0" xr:uid="{00000000-0006-0000-0300-000005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3" authorId="0" shapeId="0" xr:uid="{00000000-0006-0000-0300-000006000000}">
      <text>
        <r>
          <rPr>
            <sz val="11"/>
            <color theme="1"/>
            <rFont val="Calibri"/>
            <scheme val="minor"/>
          </rPr>
          <t xml:space="preserve">ESPE:
CORRECCION
</t>
        </r>
      </text>
    </comment>
    <comment ref="B14" authorId="0" shapeId="0" xr:uid="{00000000-0006-0000-0300-000007000000}">
      <text>
        <r>
          <rPr>
            <sz val="11"/>
            <color theme="1"/>
            <rFont val="Calibri"/>
            <scheme val="minor"/>
          </rPr>
          <t>ESPE:
CONSISTENCIA</t>
        </r>
      </text>
    </comment>
    <comment ref="B15" authorId="0" shapeId="0" xr:uid="{00000000-0006-0000-0300-000008000000}">
      <text>
        <r>
          <rPr>
            <sz val="11"/>
            <color theme="1"/>
            <rFont val="Calibri"/>
            <scheme val="minor"/>
          </rPr>
          <t xml:space="preserve">ESPE:
NECESIDAD
</t>
        </r>
      </text>
    </comment>
    <comment ref="B16" authorId="0" shapeId="0" xr:uid="{00000000-0006-0000-0300-000009000000}">
      <text>
        <r>
          <rPr>
            <sz val="11"/>
            <color theme="1"/>
            <rFont val="Calibri"/>
            <scheme val="minor"/>
          </rPr>
          <t xml:space="preserve">ESPE:
verificable 
</t>
        </r>
      </text>
    </comment>
  </commentList>
</comments>
</file>

<file path=xl/sharedStrings.xml><?xml version="1.0" encoding="utf-8"?>
<sst xmlns="http://schemas.openxmlformats.org/spreadsheetml/2006/main" count="308" uniqueCount="112">
  <si>
    <t>MATRIZ PARA COMPROBACIÓN REQUERIMIENTOS DE CALIDAD DE PROYECTO ACADEMICO</t>
  </si>
  <si>
    <t>SISTEMA:</t>
  </si>
  <si>
    <t>SISTEMA DE GESTION DE ALICUOTAS</t>
  </si>
  <si>
    <t xml:space="preserve"> </t>
  </si>
  <si>
    <t>Nº</t>
  </si>
  <si>
    <t>CRITERIOS DE CALIDAD (Documento/Requerimientos)</t>
  </si>
  <si>
    <t>Status
Nivel de Acuerdo</t>
  </si>
  <si>
    <t xml:space="preserve">
CU001 Administrar Sistema</t>
  </si>
  <si>
    <t xml:space="preserve">CU002Gestionar Copropietarios
</t>
  </si>
  <si>
    <t>CU003 Implementar Pagos</t>
  </si>
  <si>
    <t>Agreed</t>
  </si>
  <si>
    <t>OK</t>
  </si>
  <si>
    <t>1. Fue aprobado por la docente a cargo
2. Entrevista al Administrador del Condominio
3. Minuta realizada de la Entrevista</t>
  </si>
  <si>
    <t>1. Aceptacion del docente y cliente</t>
  </si>
  <si>
    <t>Ranked</t>
  </si>
  <si>
    <t>NOK</t>
  </si>
  <si>
    <t>1. En el SRS se especifíca que es un requisito Primario, pero los subcasos  no poseen una priorización</t>
  </si>
  <si>
    <t>1.En el documento se especifica que es un requisito de tipo primario pero no se especifica que tipo de prioridad tienen</t>
  </si>
  <si>
    <t>1.En ninguna parte de la descripción de los casos de uso se especifica la prioridad (Alta, Media, Baja) o importancia del requisito.</t>
  </si>
  <si>
    <t>Unambiguos</t>
  </si>
  <si>
    <t>1. El requisito está redactado de forma clara                                             2. Cada miembro del equipo leyó el requisito y llegó a la misma interpretación</t>
  </si>
  <si>
    <t>1. Se comenta en lo que consiste el requisito especificando actores, proposito, descripcion y tipo</t>
  </si>
  <si>
    <t xml:space="preserve">1. Las precondiciones, postcondiciones y flujos están redactados paso a paso.                                                                      2. El tutor y el equipo interpretan de igual manera el caso de uso </t>
  </si>
  <si>
    <t>Valid and up-to date</t>
  </si>
  <si>
    <t>1. Se implementaron las correcciones realizadas por la docente        
2. El SRS cuenta con control de versiones</t>
  </si>
  <si>
    <t>1. Se tiene un sistema de versiones del SRS                                                                                                                                                                                                                        2. Se implementarion cambios por recomendaciones del docente.</t>
  </si>
  <si>
    <t>1. Cuenta con un control de versiones explícito                                                                                                                                                                                                                        2. Incluye reglas de tiempo específicas y actualizadas</t>
  </si>
  <si>
    <t>Correct</t>
  </si>
  <si>
    <t>1. Se especifica de manera concreta cuales son los objetivos y las experctativas operativas</t>
  </si>
  <si>
    <t>1. En la perspectiva del producto se deja en claro los objetivos que se esperan del producto.                                                                                                                                                                                                                        2. Refleja lo que realmente necesita el stakeholder.</t>
  </si>
  <si>
    <t>1. El flujo resuelve la necesidad real del sistema: el usuario reporta, el administrador audita, el sistema penaliza si hay mora y finalmente concilia emitiendo un comprobante.</t>
  </si>
  <si>
    <t>Consistente</t>
  </si>
  <si>
    <t>1. No se contradice dentro de su propio flujo y tampoco se contradice con otro requisito</t>
  </si>
  <si>
    <t>1. EL documento se encuentra validado de ambiguedades, contradicciones y paradojas</t>
  </si>
  <si>
    <t xml:space="preserve">1. Los casos de uso mantienen consistencia entre sí; los estados del pago fluyen lógicamente de un RF a otro sin contradecirse.                                           </t>
  </si>
  <si>
    <t>1. No existen criterios por los cuales se pueda medir el cumplimiento dado que no se implementó la propuesta.</t>
  </si>
  <si>
    <t>1. la medicion de su cumplimiento no es verificable por que no termino de ser implementado</t>
  </si>
  <si>
    <t>1. Requisito Medible                                                           2.  Faltan los Casos de Prueba explícitos o los criterios de aceptación medibles</t>
  </si>
  <si>
    <t>Realizable</t>
  </si>
  <si>
    <t>1. Actualmente no es posible el desarrollo por falta de presupuesto y confirmación del cliente con la versión final del producto.</t>
  </si>
  <si>
    <t>1. actualmente el producto puede ser desarrollado con los costos especificados en la matriz de trazabilidad.                                                                                                                                                                                                                        2. el producto no fue desarrollado.</t>
  </si>
  <si>
    <t>1.Las operaciones descritas son factibles con cualquier entorno de desarrollo actual.
2. No se ha desarrollado.</t>
  </si>
  <si>
    <t>Traceable</t>
  </si>
  <si>
    <t>1. El origen del requisito su relación con otros requisitos se evidencia de forma clara en la matriz de trazabilidad.</t>
  </si>
  <si>
    <t>1. La relacion entre los requisitos esta especificada tanto en el docuemtno como de forma grafica en el diagrama de casos de uso</t>
  </si>
  <si>
    <t>1. Tienen identificadores únicos jerárquicos
2. Las dependencias están claramente escritas</t>
  </si>
  <si>
    <t>Complete</t>
  </si>
  <si>
    <t>1. El requisito abarca todos los elementos relevantes y necesarios para asegurar su completitud.</t>
  </si>
  <si>
    <t>1. Se aseguro de abarcar las necesidades que el stakeholder pidio</t>
  </si>
  <si>
    <t>1. Contiene toda la información necesaria para entender y diseñar la función. 
2. Describe completamente la funcionalidad esperada.</t>
  </si>
  <si>
    <t>Understandability</t>
  </si>
  <si>
    <t>1. El requisito es claro y comprensible para los involucrados, además el documento cuenta con un apartado de glosario de términos.</t>
  </si>
  <si>
    <t xml:space="preserve">1. Se cuenta con un flujo normal por cada requerimiento que sirve como guia del como se usara y para que escenarios sirve </t>
  </si>
  <si>
    <t>1. La sección de "Comentarios" en cada caso de uso aporta contexto de negocio que ayuda a cualquier desarrollador a entender el porqué de las reglas.</t>
  </si>
  <si>
    <t>Sistema De Gestión De Alicuotas</t>
  </si>
  <si>
    <t>FECHA:</t>
  </si>
  <si>
    <t>AUTOR:</t>
  </si>
  <si>
    <t>Jeancarlo Santi</t>
  </si>
  <si>
    <t>REQUERIMIENTOS EVALUADOS :</t>
  </si>
  <si>
    <t>CU001 Administrar Sistema</t>
  </si>
  <si>
    <t>CONTENIDO</t>
  </si>
  <si>
    <t>No.</t>
  </si>
  <si>
    <t>Pregunta</t>
  </si>
  <si>
    <t>SI</t>
  </si>
  <si>
    <t xml:space="preserve">NO </t>
  </si>
  <si>
    <t>Todos los requerimientos relevantes se han documentado?</t>
  </si>
  <si>
    <t>X</t>
  </si>
  <si>
    <t>Se han implementado las funciones requeridas?</t>
  </si>
  <si>
    <t xml:space="preserve"> Existe algún mecanismo que permita seguir el impacto de dicho requerimiento a lo largo del resto de las actividades del ciclo productivo.?</t>
  </si>
  <si>
    <t>El origen de cada requerimento individual está claro ?</t>
  </si>
  <si>
    <t>Que tan facil es devolverse a los requerimientos?</t>
  </si>
  <si>
    <t xml:space="preserve"> Los requerimientos reflejan las necesidades y deseos del cliente?</t>
  </si>
  <si>
    <t>No hay contradicciones entre los requerimientos?</t>
  </si>
  <si>
    <t>El requerimiento que se esta especificando contribuye a alcanzar un objetivo definido ?</t>
  </si>
  <si>
    <t>Existe un proceso acotado (en plazo y presupuesto) que permita determinar que el sistema construido satisface lo descrito en el propio requerimiento?</t>
  </si>
  <si>
    <t>SUMATORIA:</t>
  </si>
  <si>
    <t>PORCENTAJE :</t>
  </si>
  <si>
    <t>DOCUMENTACIÓN</t>
  </si>
  <si>
    <t>Aplica un estandar para la documetación de requerimiento?</t>
  </si>
  <si>
    <t>Cumple con la estructura definida por el estandar?</t>
  </si>
  <si>
    <t>Utiliza un Glosario de términos normalizado?</t>
  </si>
  <si>
    <t>Los requerimientos Funcionales estan sujetos a una única interpretación?</t>
  </si>
  <si>
    <t>El modelo aplicado cumple con la sintaxis?</t>
  </si>
  <si>
    <t>NIVEL DE ACUERDO</t>
  </si>
  <si>
    <t>Todos los requerimientos  han sido acordados con todos los interesados?</t>
  </si>
  <si>
    <t>Todos los requerimientos  modificados han sido acordados por todos los implicados?</t>
  </si>
  <si>
    <t>Han sido resueltos todos los conflictos conocidos respectos de los requerimientos?</t>
  </si>
  <si>
    <t>RESUMEN</t>
  </si>
  <si>
    <t xml:space="preserve">CONTENIDO </t>
  </si>
  <si>
    <t>Andres Cedeño</t>
  </si>
  <si>
    <t>CU002Gestionar Copropietarios</t>
  </si>
  <si>
    <t>Tufiño Erick</t>
  </si>
  <si>
    <t>PREGUNTA</t>
  </si>
  <si>
    <t>RECOMENDACIÓN</t>
  </si>
  <si>
    <t>¿Se han validado y aprobado formalmente todos los entregables de la entrevista (videoconferencia, minuta, acta de aceptación)?</t>
  </si>
  <si>
    <t>Aplicar las debidas correcciones a la versión final y posteriormente validar con el cliente el documento, de preferencia debe constar la firma tanto del cliente como del equipo, como prueba de aceptación de los contenidos.</t>
  </si>
  <si>
    <t>¿Se han definido criterios de aceptación y casos de prueba
 que permitan medir objetivamente el cumplimiento del 
requisito?</t>
  </si>
  <si>
    <t>Elaborar casos de Prueba para incluir en pruebas unitarias y pruebas de integración automatizadas. Establecer criterios de aceptación en formato Gherkin para alinear las expectativas del cliente con el equipo de desarrollo</t>
  </si>
  <si>
    <t>¿Se han definido criterios de aceptación y casos de prueba que permitan medir objetivamente el cumplimiento del requisito?</t>
  </si>
  <si>
    <t>Elaborar casos de prueba específicos, sobre todo para validar la exactitud del cálculo matemático del 12% de mora y las restricciones de archivos. Establecer criterios de aceptación para las pruebas de integración entre los diferentes sub-casos de uso.</t>
  </si>
  <si>
    <t>¿Se ha definido claramente la prioridad de desarrollo para este conjunto de casos de uso?</t>
  </si>
  <si>
    <t>Especificar la prioridad (Alta, Media o Baja) en la descripción general de cada caso de uso</t>
  </si>
  <si>
    <t>¿Se han validado y aprobado formalmente las reglas de negocio automatizadas (como la distribución de pagos y cálculos de mora)?</t>
  </si>
  <si>
    <t>Validar que la lógica de aplicar el pago a las deudas más antiguas y el cálculo automático del recargo del 12% reflejan exactamente el reglamento del conjunto.</t>
  </si>
  <si>
    <t>Verificable</t>
  </si>
  <si>
    <t>x</t>
  </si>
  <si>
    <t>Establecer una priorización formal para los subcasos CU-1.1 Iniciar Sesión, CU-1.2 Recuperar Contraseña y CU-1.3 Configurar Perfiles, usando un criterio uniforme como Must, Should, Could o prioridad Alta, Media, Baja.</t>
  </si>
  <si>
    <t>¿El requisito es viable con los recursos, presupuesto, alcance y nivel de validación actual del proyecto?</t>
  </si>
  <si>
    <t>¿Se ha definido una priorización explícita de los subcasos de uso dl requisito, indicando cuáles son obligatorios para la primera versión y cuáles pueden diferirse?</t>
  </si>
  <si>
    <t>Revisar la factibilidad del requisito junto con el cliente y el equipo, delimitando una versión mínima viable. Si no existe presupuesto ni aprobación formal para toda la funcionalidad planteada, debe priorizarse una implementación mínima centrada en autenticación y acceso</t>
  </si>
  <si>
    <t>¿Se han definido criterios de aceptación, resultados esperados y casos de prueba que permitan comprobar objetivamente el cumplimiento de los subcasos del requisito?</t>
  </si>
  <si>
    <t>Definir criterios de aceptación medibles para cada subcaso de uso del requisito . Estos criterios deben documentarse junto con casos de prueba funcionales y resultados esperados, de forma que el requisito pueda evaluarse objetivamente durante la fase de prueba.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</si>
</sst>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>
    <font>
      <sz val="11"/>
      <color theme="1"/>
      <name val="Calibri"/>
      <scheme val="minor"/>
    </font>
    <font>
      <sz val="8"/>
      <color theme="1"/>
      <name val="Arial"/>
    </font>
    <font>
      <b/>
      <sz val="18"/>
      <color rgb="FF1F497D"/>
      <name val="Calibri"/>
    </font>
    <font>
      <b/>
      <sz val="18"/>
      <color theme="1"/>
      <name val="Calibri"/>
    </font>
    <font>
      <b/>
      <sz val="18"/>
      <color theme="1"/>
      <name val="Arial"/>
    </font>
    <font>
      <sz val="11"/>
      <name val="Calibri"/>
    </font>
    <font>
      <b/>
      <sz val="12"/>
      <color theme="1"/>
      <name val="Arial"/>
    </font>
    <font>
      <b/>
      <sz val="11"/>
      <color theme="1"/>
      <name val="Arial"/>
    </font>
    <font>
      <sz val="11"/>
      <color theme="1"/>
      <name val="Calibri"/>
    </font>
    <font>
      <b/>
      <sz val="16"/>
      <color theme="0"/>
      <name val="Calibri"/>
    </font>
    <font>
      <b/>
      <sz val="16"/>
      <color theme="1"/>
      <name val="Calibri"/>
    </font>
    <font>
      <b/>
      <sz val="12"/>
      <color rgb="FFFFFFFF"/>
      <name val="Calibri"/>
    </font>
    <font>
      <b/>
      <sz val="16"/>
      <color rgb="FFFFFFFF"/>
      <name val="Calibri"/>
    </font>
    <font>
      <b/>
      <sz val="14"/>
      <color theme="1"/>
      <name val="Calibri"/>
    </font>
    <font>
      <sz val="14"/>
      <color theme="1"/>
      <name val="Calibri"/>
    </font>
    <font>
      <b/>
      <sz val="18"/>
      <color rgb="FFFA7D00"/>
      <name val="Calibri"/>
    </font>
    <font>
      <b/>
      <sz val="11"/>
      <color theme="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B8CCE4"/>
        <bgColor rgb="FFB8CCE4"/>
      </patternFill>
    </fill>
    <fill>
      <patternFill patternType="solid">
        <fgColor rgb="FFC2D69B"/>
        <bgColor rgb="FFC2D69B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7" xfId="0" applyFont="1" applyBorder="1"/>
    <xf numFmtId="0" fontId="9" fillId="3" borderId="11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left" vertical="center" wrapText="1"/>
    </xf>
    <xf numFmtId="0" fontId="8" fillId="0" borderId="0" xfId="0" applyFont="1"/>
    <xf numFmtId="0" fontId="10" fillId="5" borderId="7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vertical="center" wrapText="1"/>
    </xf>
    <xf numFmtId="0" fontId="11" fillId="3" borderId="7" xfId="0" applyFont="1" applyFill="1" applyBorder="1" applyAlignment="1">
      <alignment horizontal="left" vertical="center" wrapText="1"/>
    </xf>
    <xf numFmtId="0" fontId="11" fillId="3" borderId="13" xfId="0" applyFont="1" applyFill="1" applyBorder="1" applyAlignment="1">
      <alignment horizontal="left" vertical="center" wrapText="1"/>
    </xf>
    <xf numFmtId="0" fontId="8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left"/>
    </xf>
    <xf numFmtId="0" fontId="14" fillId="6" borderId="12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0" fontId="14" fillId="6" borderId="15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7" xfId="0" applyFont="1" applyBorder="1" applyAlignment="1">
      <alignment wrapText="1"/>
    </xf>
    <xf numFmtId="0" fontId="8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9" fontId="8" fillId="0" borderId="0" xfId="0" applyNumberFormat="1" applyFont="1"/>
    <xf numFmtId="0" fontId="13" fillId="0" borderId="10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6" fillId="7" borderId="7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5" fillId="0" borderId="8" xfId="0" applyFont="1" applyBorder="1"/>
    <xf numFmtId="0" fontId="6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2" borderId="5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5" fillId="0" borderId="9" xfId="0" applyFont="1" applyBorder="1"/>
    <xf numFmtId="0" fontId="5" fillId="0" borderId="10" xfId="0" applyFont="1" applyBorder="1"/>
    <xf numFmtId="0" fontId="9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left" vertical="top" wrapText="1"/>
    </xf>
    <xf numFmtId="15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horizontal="left" wrapText="1"/>
    </xf>
    <xf numFmtId="0" fontId="15" fillId="0" borderId="16" xfId="0" applyFont="1" applyBorder="1" applyAlignment="1">
      <alignment horizontal="center" vertical="center"/>
    </xf>
    <xf numFmtId="0" fontId="5" fillId="0" borderId="16" xfId="0" applyFont="1" applyBorder="1"/>
  </cellXfs>
  <cellStyles count="1">
    <cellStyle name="Normal" xfId="0" builtinId="0"/>
  </cellStyles>
  <dxfs count="51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9">
    <tableStyle name="MODELO LISTA DE COMPROBACION - -style" pivot="0" count="3" xr9:uid="{00000000-0011-0000-FFFF-FFFF00000000}">
      <tableStyleElement type="headerRow" dxfId="50"/>
      <tableStyleElement type="firstRowStripe" dxfId="49"/>
      <tableStyleElement type="secondRowStripe" dxfId="48"/>
    </tableStyle>
    <tableStyle name="MODELO LISTA DE COMPROBACION - -style 2" pivot="0" count="3" xr9:uid="{00000000-0011-0000-FFFF-FFFF01000000}">
      <tableStyleElement type="headerRow" dxfId="47"/>
      <tableStyleElement type="firstRowStripe" dxfId="46"/>
      <tableStyleElement type="secondRowStripe" dxfId="45"/>
    </tableStyle>
    <tableStyle name="MODELO LISTA DE COMPROBACION - -style 3" pivot="0" count="3" xr9:uid="{00000000-0011-0000-FFFF-FFFF02000000}">
      <tableStyleElement type="headerRow" dxfId="44"/>
      <tableStyleElement type="firstRowStripe" dxfId="43"/>
      <tableStyleElement type="secondRowStripe" dxfId="42"/>
    </tableStyle>
    <tableStyle name="Hoja 1-style" pivot="0" count="3" xr9:uid="{00000000-0011-0000-FFFF-FFFF03000000}">
      <tableStyleElement type="headerRow" dxfId="41"/>
      <tableStyleElement type="firstRowStripe" dxfId="40"/>
      <tableStyleElement type="secondRowStripe" dxfId="39"/>
    </tableStyle>
    <tableStyle name="Hoja 1-style 2" pivot="0" count="3" xr9:uid="{00000000-0011-0000-FFFF-FFFF04000000}">
      <tableStyleElement type="headerRow" dxfId="38"/>
      <tableStyleElement type="firstRowStripe" dxfId="37"/>
      <tableStyleElement type="secondRowStripe" dxfId="36"/>
    </tableStyle>
    <tableStyle name="Hoja 1-style 3" pivot="0" count="3" xr9:uid="{00000000-0011-0000-FFFF-FFFF05000000}">
      <tableStyleElement type="headerRow" dxfId="35"/>
      <tableStyleElement type="firstRowStripe" dxfId="34"/>
      <tableStyleElement type="secondRowStripe" dxfId="33"/>
    </tableStyle>
    <tableStyle name="Hoja 2-style" pivot="0" count="3" xr9:uid="{00000000-0011-0000-FFFF-FFFF06000000}">
      <tableStyleElement type="headerRow" dxfId="32"/>
      <tableStyleElement type="firstRowStripe" dxfId="31"/>
      <tableStyleElement type="secondRowStripe" dxfId="30"/>
    </tableStyle>
    <tableStyle name="Hoja 2-style 2" pivot="0" count="3" xr9:uid="{00000000-0011-0000-FFFF-FFFF07000000}">
      <tableStyleElement type="headerRow" dxfId="29"/>
      <tableStyleElement type="firstRowStripe" dxfId="28"/>
      <tableStyleElement type="secondRowStripe" dxfId="27"/>
    </tableStyle>
    <tableStyle name="Hoja 2-style 3" pivot="0" count="3" xr9:uid="{00000000-0011-0000-FFFF-FFFF08000000}">
      <tableStyleElement type="headerRow" dxfId="26"/>
      <tableStyleElement type="firstRowStripe" dxfId="25"/>
      <tableStyleElement type="secondRowStripe" dxfId="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US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7F09-4718-AF65-E507CCA927AE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7F09-4718-AF65-E507CCA927AE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7F09-4718-AF65-E507CCA927AE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COMPROBACION - 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COMPROBACION - '!$C$41:$C$43</c:f>
              <c:numCache>
                <c:formatCode>General</c:formatCode>
                <c:ptCount val="3"/>
                <c:pt idx="0">
                  <c:v>89</c:v>
                </c:pt>
                <c:pt idx="1">
                  <c:v>100</c:v>
                </c:pt>
                <c:pt idx="2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F09-4718-AF65-E507CCA92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US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1055-4D09-9CA5-03E04F107684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1055-4D09-9CA5-03E04F107684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1055-4D09-9CA5-03E04F107684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'Hoja 1'!$B$41:$B$43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'Hoja 1'!$C$41:$C$43</c:f>
              <c:numCache>
                <c:formatCode>General</c:formatCode>
                <c:ptCount val="3"/>
                <c:pt idx="0">
                  <c:v>89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055-4D09-9CA5-03E04F107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US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7CB8-4517-BF79-644A466B36DC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7CB8-4517-BF79-644A466B36DC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7CB8-4517-BF79-644A466B36DC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'Hoja 2'!$B$41:$B$43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'Hoja 2'!$C$41:$C$43</c:f>
              <c:numCache>
                <c:formatCode>General</c:formatCode>
                <c:ptCount val="3"/>
                <c:pt idx="0">
                  <c:v>89</c:v>
                </c:pt>
                <c:pt idx="1">
                  <c:v>100</c:v>
                </c:pt>
                <c:pt idx="2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CB8-4517-BF79-644A466B3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7:D16">
  <tableColumns count="4">
    <tableColumn id="1" xr3:uid="{00000000-0010-0000-0000-000001000000}" name="No."/>
    <tableColumn id="2" xr3:uid="{00000000-0010-0000-0000-000002000000}" name="Pregunta"/>
    <tableColumn id="3" xr3:uid="{00000000-0010-0000-0000-000003000000}" name="SI"/>
    <tableColumn id="4" xr3:uid="{00000000-0010-0000-0000-000004000000}" name="NO "/>
  </tableColumns>
  <tableStyleInfo name="MODELO LISTA DE COMPROBACION - 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1:D26">
  <tableColumns count="4">
    <tableColumn id="1" xr3:uid="{00000000-0010-0000-0100-000001000000}" name="No."/>
    <tableColumn id="2" xr3:uid="{00000000-0010-0000-0100-000002000000}" name="Pregunta"/>
    <tableColumn id="3" xr3:uid="{00000000-0010-0000-0100-000003000000}" name="SI"/>
    <tableColumn id="4" xr3:uid="{00000000-0010-0000-0100-000004000000}" name="NO "/>
  </tableColumns>
  <tableStyleInfo name="MODELO LISTA DE COMPROBACION - 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31:D34">
  <tableColumns count="4">
    <tableColumn id="1" xr3:uid="{00000000-0010-0000-0200-000001000000}" name="No."/>
    <tableColumn id="2" xr3:uid="{00000000-0010-0000-0200-000002000000}" name="Pregunta"/>
    <tableColumn id="3" xr3:uid="{00000000-0010-0000-0200-000003000000}" name="SI"/>
    <tableColumn id="4" xr3:uid="{00000000-0010-0000-0200-000004000000}" name="NO "/>
  </tableColumns>
  <tableStyleInfo name="MODELO LISTA DE COMPROBACION - 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7:D16">
  <tableColumns count="4">
    <tableColumn id="1" xr3:uid="{00000000-0010-0000-0300-000001000000}" name="No."/>
    <tableColumn id="2" xr3:uid="{00000000-0010-0000-0300-000002000000}" name="Pregunta"/>
    <tableColumn id="3" xr3:uid="{00000000-0010-0000-0300-000003000000}" name="SI"/>
    <tableColumn id="4" xr3:uid="{00000000-0010-0000-0300-000004000000}" name="NO "/>
  </tableColumns>
  <tableStyleInfo name="Hoja 1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21:D26">
  <tableColumns count="4">
    <tableColumn id="1" xr3:uid="{00000000-0010-0000-0400-000001000000}" name="No."/>
    <tableColumn id="2" xr3:uid="{00000000-0010-0000-0400-000002000000}" name="Pregunta"/>
    <tableColumn id="3" xr3:uid="{00000000-0010-0000-0400-000003000000}" name="SI"/>
    <tableColumn id="4" xr3:uid="{00000000-0010-0000-0400-000004000000}" name="NO "/>
  </tableColumns>
  <tableStyleInfo name="Hoja 1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31:D34">
  <tableColumns count="4">
    <tableColumn id="1" xr3:uid="{00000000-0010-0000-0500-000001000000}" name="No."/>
    <tableColumn id="2" xr3:uid="{00000000-0010-0000-0500-000002000000}" name="Pregunta"/>
    <tableColumn id="3" xr3:uid="{00000000-0010-0000-0500-000003000000}" name="SI"/>
    <tableColumn id="4" xr3:uid="{00000000-0010-0000-0500-000004000000}" name="NO "/>
  </tableColumns>
  <tableStyleInfo name="Hoja 1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7:D16">
  <tableColumns count="4">
    <tableColumn id="1" xr3:uid="{00000000-0010-0000-0600-000001000000}" name="No."/>
    <tableColumn id="2" xr3:uid="{00000000-0010-0000-0600-000002000000}" name="Pregunta"/>
    <tableColumn id="3" xr3:uid="{00000000-0010-0000-0600-000003000000}" name="SI"/>
    <tableColumn id="4" xr3:uid="{00000000-0010-0000-0600-000004000000}" name="NO "/>
  </tableColumns>
  <tableStyleInfo name="Hoja 2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21:D26">
  <tableColumns count="4">
    <tableColumn id="1" xr3:uid="{00000000-0010-0000-0700-000001000000}" name="No."/>
    <tableColumn id="2" xr3:uid="{00000000-0010-0000-0700-000002000000}" name="Pregunta"/>
    <tableColumn id="3" xr3:uid="{00000000-0010-0000-0700-000003000000}" name="SI"/>
    <tableColumn id="4" xr3:uid="{00000000-0010-0000-0700-000004000000}" name="NO "/>
  </tableColumns>
  <tableStyleInfo name="Hoja 2-style 2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31:D34">
  <tableColumns count="4">
    <tableColumn id="1" xr3:uid="{00000000-0010-0000-0800-000001000000}" name="No."/>
    <tableColumn id="2" xr3:uid="{00000000-0010-0000-0800-000002000000}" name="Pregunta"/>
    <tableColumn id="3" xr3:uid="{00000000-0010-0000-0800-000003000000}" name="SI"/>
    <tableColumn id="4" xr3:uid="{00000000-0010-0000-0800-000004000000}" name="NO "/>
  </tableColumns>
  <tableStyleInfo name="Hoja 2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6" Type="http://schemas.openxmlformats.org/officeDocument/2006/relationships/comments" Target="../comments2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Relationship Id="rId6" Type="http://schemas.openxmlformats.org/officeDocument/2006/relationships/comments" Target="../comments3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Relationship Id="rId6" Type="http://schemas.openxmlformats.org/officeDocument/2006/relationships/comments" Target="../comments4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000"/>
  <sheetViews>
    <sheetView showGridLines="0" topLeftCell="A10" zoomScale="70" zoomScaleNormal="70" workbookViewId="0">
      <selection activeCell="O16" sqref="O16"/>
    </sheetView>
  </sheetViews>
  <sheetFormatPr baseColWidth="10" defaultColWidth="14.453125" defaultRowHeight="15" customHeight="1"/>
  <cols>
    <col min="1" max="1" width="4.54296875" customWidth="1"/>
    <col min="2" max="2" width="4.453125" customWidth="1"/>
    <col min="3" max="3" width="3.7265625" customWidth="1"/>
    <col min="4" max="4" width="34.81640625" customWidth="1"/>
    <col min="5" max="5" width="9.7265625" customWidth="1"/>
    <col min="6" max="6" width="51.08984375" customWidth="1"/>
    <col min="7" max="7" width="10.08984375" customWidth="1"/>
    <col min="8" max="8" width="4.7265625" hidden="1" customWidth="1"/>
    <col min="9" max="9" width="42.7265625" customWidth="1"/>
    <col min="10" max="10" width="9.81640625" customWidth="1"/>
    <col min="11" max="11" width="44.54296875" customWidth="1"/>
  </cols>
  <sheetData>
    <row r="1" spans="2:11" ht="14.25" customHeight="1">
      <c r="C1" s="1"/>
    </row>
    <row r="2" spans="2:11" ht="14.25" customHeight="1">
      <c r="C2" s="1"/>
    </row>
    <row r="3" spans="2:11" ht="30" customHeight="1">
      <c r="C3" s="37" t="s">
        <v>0</v>
      </c>
      <c r="D3" s="38"/>
      <c r="E3" s="38"/>
      <c r="F3" s="38"/>
      <c r="G3" s="38"/>
      <c r="H3" s="38"/>
      <c r="I3" s="38"/>
      <c r="J3" s="38"/>
      <c r="K3" s="38"/>
    </row>
    <row r="4" spans="2:11" ht="30" customHeight="1">
      <c r="C4" s="38"/>
      <c r="D4" s="38"/>
      <c r="E4" s="38"/>
      <c r="F4" s="38"/>
      <c r="G4" s="38"/>
      <c r="H4" s="38"/>
      <c r="I4" s="38"/>
      <c r="J4" s="38"/>
      <c r="K4" s="38"/>
    </row>
    <row r="5" spans="2:11" ht="30" customHeight="1">
      <c r="C5" s="2"/>
      <c r="D5" s="3" t="s">
        <v>1</v>
      </c>
      <c r="E5" s="39" t="s">
        <v>2</v>
      </c>
      <c r="F5" s="38"/>
      <c r="G5" s="38"/>
      <c r="H5" s="38"/>
      <c r="I5" s="38"/>
      <c r="J5" s="38"/>
      <c r="K5" s="38"/>
    </row>
    <row r="6" spans="2:11" ht="55.5" customHeight="1">
      <c r="C6" s="1"/>
      <c r="F6" s="40" t="s">
        <v>3</v>
      </c>
      <c r="G6" s="41"/>
      <c r="H6" s="41"/>
      <c r="I6" s="41"/>
      <c r="J6" s="41"/>
      <c r="K6" s="42"/>
    </row>
    <row r="7" spans="2:11" ht="45" customHeight="1">
      <c r="B7" s="36" t="s">
        <v>4</v>
      </c>
      <c r="C7" s="43" t="s">
        <v>5</v>
      </c>
      <c r="D7" s="44"/>
      <c r="E7" s="34" t="s">
        <v>6</v>
      </c>
      <c r="F7" s="36" t="s">
        <v>7</v>
      </c>
      <c r="G7" s="34" t="s">
        <v>6</v>
      </c>
      <c r="H7" s="4"/>
      <c r="I7" s="36" t="s">
        <v>8</v>
      </c>
      <c r="J7" s="34"/>
      <c r="K7" s="36" t="s">
        <v>9</v>
      </c>
    </row>
    <row r="8" spans="2:11" ht="60" customHeight="1">
      <c r="B8" s="35"/>
      <c r="C8" s="45"/>
      <c r="D8" s="46"/>
      <c r="E8" s="35"/>
      <c r="F8" s="35"/>
      <c r="G8" s="35"/>
      <c r="H8" s="4"/>
      <c r="I8" s="35"/>
      <c r="J8" s="35"/>
      <c r="K8" s="35"/>
    </row>
    <row r="9" spans="2:11" ht="66" customHeight="1">
      <c r="B9" s="5">
        <v>1</v>
      </c>
      <c r="C9" s="47" t="s">
        <v>10</v>
      </c>
      <c r="D9" s="42"/>
      <c r="E9" s="6" t="s">
        <v>11</v>
      </c>
      <c r="F9" s="7" t="s">
        <v>12</v>
      </c>
      <c r="G9" s="6" t="s">
        <v>11</v>
      </c>
      <c r="H9" s="8"/>
      <c r="I9" s="7" t="s">
        <v>13</v>
      </c>
      <c r="J9" s="6" t="s">
        <v>11</v>
      </c>
      <c r="K9" s="7" t="s">
        <v>12</v>
      </c>
    </row>
    <row r="10" spans="2:11" ht="66" customHeight="1">
      <c r="B10" s="5">
        <v>2</v>
      </c>
      <c r="C10" s="47" t="s">
        <v>14</v>
      </c>
      <c r="D10" s="42"/>
      <c r="E10" s="9" t="s">
        <v>15</v>
      </c>
      <c r="F10" s="10" t="s">
        <v>16</v>
      </c>
      <c r="G10" s="9" t="s">
        <v>15</v>
      </c>
      <c r="I10" s="10" t="s">
        <v>17</v>
      </c>
      <c r="J10" s="9" t="s">
        <v>15</v>
      </c>
      <c r="K10" s="10" t="s">
        <v>18</v>
      </c>
    </row>
    <row r="11" spans="2:11" ht="66" customHeight="1">
      <c r="B11" s="5">
        <v>3</v>
      </c>
      <c r="C11" s="47" t="s">
        <v>19</v>
      </c>
      <c r="D11" s="42"/>
      <c r="E11" s="6" t="s">
        <v>11</v>
      </c>
      <c r="F11" s="10" t="s">
        <v>20</v>
      </c>
      <c r="G11" s="6" t="s">
        <v>11</v>
      </c>
      <c r="I11" s="10" t="s">
        <v>21</v>
      </c>
      <c r="J11" s="6" t="s">
        <v>11</v>
      </c>
      <c r="K11" s="10" t="s">
        <v>22</v>
      </c>
    </row>
    <row r="12" spans="2:11" ht="66" customHeight="1">
      <c r="B12" s="5">
        <v>4</v>
      </c>
      <c r="C12" s="47" t="s">
        <v>23</v>
      </c>
      <c r="D12" s="42"/>
      <c r="E12" s="6" t="s">
        <v>11</v>
      </c>
      <c r="F12" s="11" t="s">
        <v>24</v>
      </c>
      <c r="G12" s="6" t="s">
        <v>11</v>
      </c>
      <c r="I12" s="11" t="s">
        <v>25</v>
      </c>
      <c r="J12" s="6" t="s">
        <v>11</v>
      </c>
      <c r="K12" s="11" t="s">
        <v>26</v>
      </c>
    </row>
    <row r="13" spans="2:11" ht="75" customHeight="1">
      <c r="B13" s="5">
        <v>5</v>
      </c>
      <c r="C13" s="47" t="s">
        <v>27</v>
      </c>
      <c r="D13" s="42"/>
      <c r="E13" s="6" t="s">
        <v>11</v>
      </c>
      <c r="F13" s="11" t="s">
        <v>28</v>
      </c>
      <c r="G13" s="6" t="s">
        <v>11</v>
      </c>
      <c r="I13" s="11" t="s">
        <v>29</v>
      </c>
      <c r="J13" s="6" t="s">
        <v>11</v>
      </c>
      <c r="K13" s="11" t="s">
        <v>30</v>
      </c>
    </row>
    <row r="14" spans="2:11" ht="66" customHeight="1">
      <c r="B14" s="5">
        <v>6</v>
      </c>
      <c r="C14" s="48" t="s">
        <v>31</v>
      </c>
      <c r="D14" s="42"/>
      <c r="E14" s="6" t="s">
        <v>11</v>
      </c>
      <c r="F14" s="11" t="s">
        <v>32</v>
      </c>
      <c r="G14" s="6" t="s">
        <v>11</v>
      </c>
      <c r="I14" s="11" t="s">
        <v>33</v>
      </c>
      <c r="J14" s="6" t="s">
        <v>11</v>
      </c>
      <c r="K14" s="11" t="s">
        <v>34</v>
      </c>
    </row>
    <row r="15" spans="2:11" ht="66" customHeight="1">
      <c r="B15" s="5">
        <v>7</v>
      </c>
      <c r="C15" s="47" t="s">
        <v>104</v>
      </c>
      <c r="D15" s="42"/>
      <c r="E15" s="9" t="s">
        <v>15</v>
      </c>
      <c r="F15" s="11" t="s">
        <v>35</v>
      </c>
      <c r="G15" s="9" t="s">
        <v>15</v>
      </c>
      <c r="I15" s="11" t="s">
        <v>36</v>
      </c>
      <c r="J15" s="9" t="s">
        <v>15</v>
      </c>
      <c r="K15" s="11" t="s">
        <v>37</v>
      </c>
    </row>
    <row r="16" spans="2:11" ht="66" customHeight="1">
      <c r="B16" s="5">
        <v>8</v>
      </c>
      <c r="C16" s="47" t="s">
        <v>38</v>
      </c>
      <c r="D16" s="42"/>
      <c r="E16" s="9" t="s">
        <v>15</v>
      </c>
      <c r="F16" s="11" t="s">
        <v>39</v>
      </c>
      <c r="G16" s="9" t="s">
        <v>15</v>
      </c>
      <c r="I16" s="11" t="s">
        <v>40</v>
      </c>
      <c r="J16" s="9" t="s">
        <v>15</v>
      </c>
      <c r="K16" s="11" t="s">
        <v>41</v>
      </c>
    </row>
    <row r="17" spans="2:11" ht="77.25" customHeight="1">
      <c r="B17" s="5">
        <v>9</v>
      </c>
      <c r="C17" s="47" t="s">
        <v>42</v>
      </c>
      <c r="D17" s="42"/>
      <c r="E17" s="6" t="s">
        <v>11</v>
      </c>
      <c r="F17" s="12" t="s">
        <v>43</v>
      </c>
      <c r="G17" s="6" t="s">
        <v>11</v>
      </c>
      <c r="I17" s="10" t="s">
        <v>44</v>
      </c>
      <c r="J17" s="6" t="s">
        <v>11</v>
      </c>
      <c r="K17" s="12" t="s">
        <v>45</v>
      </c>
    </row>
    <row r="18" spans="2:11" ht="71.25" customHeight="1">
      <c r="B18" s="5">
        <v>10</v>
      </c>
      <c r="C18" s="47" t="s">
        <v>46</v>
      </c>
      <c r="D18" s="42"/>
      <c r="E18" s="6" t="s">
        <v>11</v>
      </c>
      <c r="F18" s="11" t="s">
        <v>47</v>
      </c>
      <c r="G18" s="6" t="s">
        <v>11</v>
      </c>
      <c r="I18" s="11" t="s">
        <v>48</v>
      </c>
      <c r="J18" s="6" t="s">
        <v>11</v>
      </c>
      <c r="K18" s="11" t="s">
        <v>49</v>
      </c>
    </row>
    <row r="19" spans="2:11" ht="66" customHeight="1">
      <c r="B19" s="5">
        <v>11</v>
      </c>
      <c r="C19" s="47" t="s">
        <v>50</v>
      </c>
      <c r="D19" s="42"/>
      <c r="E19" s="6" t="s">
        <v>11</v>
      </c>
      <c r="F19" s="11" t="s">
        <v>51</v>
      </c>
      <c r="G19" s="6" t="s">
        <v>11</v>
      </c>
      <c r="I19" s="11" t="s">
        <v>52</v>
      </c>
      <c r="J19" s="6" t="s">
        <v>11</v>
      </c>
      <c r="K19" s="11" t="s">
        <v>53</v>
      </c>
    </row>
    <row r="20" spans="2:11" ht="14.25" customHeight="1">
      <c r="C20" s="1"/>
    </row>
    <row r="21" spans="2:11" ht="14.25" customHeight="1">
      <c r="C21" s="1"/>
    </row>
    <row r="22" spans="2:11" ht="14.25" customHeight="1">
      <c r="C22" s="1"/>
    </row>
    <row r="23" spans="2:11" ht="14.25" customHeight="1">
      <c r="C23" s="1"/>
    </row>
    <row r="24" spans="2:11" ht="14.25" customHeight="1">
      <c r="C24" s="1"/>
    </row>
    <row r="25" spans="2:11" ht="14.25" customHeight="1">
      <c r="C25" s="1"/>
    </row>
    <row r="26" spans="2:11" ht="14.25" customHeight="1">
      <c r="C26" s="1"/>
    </row>
    <row r="27" spans="2:11" ht="14.25" customHeight="1">
      <c r="C27" s="1"/>
    </row>
    <row r="28" spans="2:11" ht="14.25" customHeight="1">
      <c r="C28" s="1"/>
    </row>
    <row r="29" spans="2:11" ht="14.25" customHeight="1">
      <c r="C29" s="1"/>
    </row>
    <row r="30" spans="2:11" ht="14.25" customHeight="1">
      <c r="C30" s="1"/>
    </row>
    <row r="31" spans="2:11" ht="14.25" customHeight="1">
      <c r="C31" s="1"/>
    </row>
    <row r="32" spans="2:11" ht="14.25" customHeight="1">
      <c r="C32" s="1"/>
    </row>
    <row r="33" spans="3:3" ht="14.25" customHeight="1">
      <c r="C33" s="1"/>
    </row>
    <row r="34" spans="3:3" ht="14.25" customHeight="1">
      <c r="C34" s="1"/>
    </row>
    <row r="35" spans="3:3" ht="14.25" customHeight="1">
      <c r="C35" s="1"/>
    </row>
    <row r="36" spans="3:3" ht="14.25" customHeight="1">
      <c r="C36" s="1"/>
    </row>
    <row r="37" spans="3:3" ht="14.25" customHeight="1">
      <c r="C37" s="1"/>
    </row>
    <row r="38" spans="3:3" ht="14.25" customHeight="1">
      <c r="C38" s="1"/>
    </row>
    <row r="39" spans="3:3" ht="14.25" customHeight="1">
      <c r="C39" s="1"/>
    </row>
    <row r="40" spans="3:3" ht="14.25" customHeight="1">
      <c r="C40" s="1"/>
    </row>
    <row r="41" spans="3:3" ht="14.25" customHeight="1">
      <c r="C41" s="1"/>
    </row>
    <row r="42" spans="3:3" ht="14.25" customHeight="1">
      <c r="C42" s="1"/>
    </row>
    <row r="43" spans="3:3" ht="14.25" customHeight="1">
      <c r="C43" s="1"/>
    </row>
    <row r="44" spans="3:3" ht="14.25" customHeight="1">
      <c r="C44" s="1"/>
    </row>
    <row r="45" spans="3:3" ht="14.25" customHeight="1">
      <c r="C45" s="1"/>
    </row>
    <row r="46" spans="3:3" ht="14.25" customHeight="1">
      <c r="C46" s="1"/>
    </row>
    <row r="47" spans="3:3" ht="14.25" customHeight="1">
      <c r="C47" s="1"/>
    </row>
    <row r="48" spans="3:3" ht="14.25" customHeight="1">
      <c r="C48" s="1"/>
    </row>
    <row r="49" spans="3:3" ht="14.25" customHeight="1">
      <c r="C49" s="1"/>
    </row>
    <row r="50" spans="3:3" ht="14.25" customHeight="1">
      <c r="C50" s="1"/>
    </row>
    <row r="51" spans="3:3" ht="14.25" customHeight="1">
      <c r="C51" s="1"/>
    </row>
    <row r="52" spans="3:3" ht="14.25" customHeight="1">
      <c r="C52" s="1"/>
    </row>
    <row r="53" spans="3:3" ht="14.25" customHeight="1">
      <c r="C53" s="1"/>
    </row>
    <row r="54" spans="3:3" ht="14.25" customHeight="1">
      <c r="C54" s="1"/>
    </row>
    <row r="55" spans="3:3" ht="14.25" customHeight="1">
      <c r="C55" s="1"/>
    </row>
    <row r="56" spans="3:3" ht="14.25" customHeight="1">
      <c r="C56" s="1"/>
    </row>
    <row r="57" spans="3:3" ht="14.25" customHeight="1">
      <c r="C57" s="1"/>
    </row>
    <row r="58" spans="3:3" ht="14.25" customHeight="1">
      <c r="C58" s="1"/>
    </row>
    <row r="59" spans="3:3" ht="14.25" customHeight="1">
      <c r="C59" s="1"/>
    </row>
    <row r="60" spans="3:3" ht="14.25" customHeight="1">
      <c r="C60" s="1"/>
    </row>
    <row r="61" spans="3:3" ht="14.25" customHeight="1">
      <c r="C61" s="1"/>
    </row>
    <row r="62" spans="3:3" ht="14.25" customHeight="1">
      <c r="C62" s="1"/>
    </row>
    <row r="63" spans="3:3" ht="14.25" customHeight="1">
      <c r="C63" s="1"/>
    </row>
    <row r="64" spans="3:3" ht="14.25" customHeight="1">
      <c r="C64" s="1"/>
    </row>
    <row r="65" spans="3:3" ht="14.25" customHeight="1">
      <c r="C65" s="1"/>
    </row>
    <row r="66" spans="3:3" ht="14.25" customHeight="1">
      <c r="C66" s="1"/>
    </row>
    <row r="67" spans="3:3" ht="14.25" customHeight="1">
      <c r="C67" s="1"/>
    </row>
    <row r="68" spans="3:3" ht="14.25" customHeight="1">
      <c r="C68" s="1"/>
    </row>
    <row r="69" spans="3:3" ht="14.25" customHeight="1">
      <c r="C69" s="1"/>
    </row>
    <row r="70" spans="3:3" ht="14.25" customHeight="1">
      <c r="C70" s="1"/>
    </row>
    <row r="71" spans="3:3" ht="14.25" customHeight="1">
      <c r="C71" s="1"/>
    </row>
    <row r="72" spans="3:3" ht="14.25" customHeight="1">
      <c r="C72" s="1"/>
    </row>
    <row r="73" spans="3:3" ht="14.25" customHeight="1">
      <c r="C73" s="1"/>
    </row>
    <row r="74" spans="3:3" ht="14.25" customHeight="1">
      <c r="C74" s="1"/>
    </row>
    <row r="75" spans="3:3" ht="14.25" customHeight="1">
      <c r="C75" s="1"/>
    </row>
    <row r="76" spans="3:3" ht="14.25" customHeight="1">
      <c r="C76" s="1"/>
    </row>
    <row r="77" spans="3:3" ht="14.25" customHeight="1">
      <c r="C77" s="1"/>
    </row>
    <row r="78" spans="3:3" ht="14.25" customHeight="1">
      <c r="C78" s="1"/>
    </row>
    <row r="79" spans="3:3" ht="14.25" customHeight="1">
      <c r="C79" s="1"/>
    </row>
    <row r="80" spans="3:3" ht="14.25" customHeight="1">
      <c r="C80" s="1"/>
    </row>
    <row r="81" spans="3:3" ht="14.25" customHeight="1">
      <c r="C81" s="1"/>
    </row>
    <row r="82" spans="3:3" ht="14.25" customHeight="1">
      <c r="C82" s="1"/>
    </row>
    <row r="83" spans="3:3" ht="14.25" customHeight="1">
      <c r="C83" s="1"/>
    </row>
    <row r="84" spans="3:3" ht="14.25" customHeight="1">
      <c r="C84" s="1"/>
    </row>
    <row r="85" spans="3:3" ht="14.25" customHeight="1">
      <c r="C85" s="1"/>
    </row>
    <row r="86" spans="3:3" ht="14.25" customHeight="1">
      <c r="C86" s="1"/>
    </row>
    <row r="87" spans="3:3" ht="14.25" customHeight="1">
      <c r="C87" s="1"/>
    </row>
    <row r="88" spans="3:3" ht="14.25" customHeight="1">
      <c r="C88" s="1"/>
    </row>
    <row r="89" spans="3:3" ht="14.25" customHeight="1">
      <c r="C89" s="1"/>
    </row>
    <row r="90" spans="3:3" ht="14.25" customHeight="1">
      <c r="C90" s="1"/>
    </row>
    <row r="91" spans="3:3" ht="14.25" customHeight="1">
      <c r="C91" s="1"/>
    </row>
    <row r="92" spans="3:3" ht="14.25" customHeight="1">
      <c r="C92" s="1"/>
    </row>
    <row r="93" spans="3:3" ht="14.25" customHeight="1">
      <c r="C93" s="1"/>
    </row>
    <row r="94" spans="3:3" ht="14.25" customHeight="1">
      <c r="C94" s="1"/>
    </row>
    <row r="95" spans="3:3" ht="14.25" customHeight="1">
      <c r="C95" s="1"/>
    </row>
    <row r="96" spans="3:3" ht="14.25" customHeight="1">
      <c r="C96" s="1"/>
    </row>
    <row r="97" spans="3:3" ht="14.25" customHeight="1">
      <c r="C97" s="1"/>
    </row>
    <row r="98" spans="3:3" ht="14.25" customHeight="1">
      <c r="C98" s="1"/>
    </row>
    <row r="99" spans="3:3" ht="14.25" customHeight="1">
      <c r="C99" s="1"/>
    </row>
    <row r="100" spans="3:3" ht="14.25" customHeight="1">
      <c r="C100" s="1"/>
    </row>
    <row r="101" spans="3:3" ht="14.25" customHeight="1">
      <c r="C101" s="1"/>
    </row>
    <row r="102" spans="3:3" ht="14.25" customHeight="1">
      <c r="C102" s="1"/>
    </row>
    <row r="103" spans="3:3" ht="14.25" customHeight="1">
      <c r="C103" s="1"/>
    </row>
    <row r="104" spans="3:3" ht="14.25" customHeight="1">
      <c r="C104" s="1"/>
    </row>
    <row r="105" spans="3:3" ht="14.25" customHeight="1">
      <c r="C105" s="1"/>
    </row>
    <row r="106" spans="3:3" ht="14.25" customHeight="1">
      <c r="C106" s="1"/>
    </row>
    <row r="107" spans="3:3" ht="14.25" customHeight="1">
      <c r="C107" s="1"/>
    </row>
    <row r="108" spans="3:3" ht="14.25" customHeight="1">
      <c r="C108" s="1"/>
    </row>
    <row r="109" spans="3:3" ht="14.25" customHeight="1">
      <c r="C109" s="1"/>
    </row>
    <row r="110" spans="3:3" ht="14.25" customHeight="1">
      <c r="C110" s="1"/>
    </row>
    <row r="111" spans="3:3" ht="14.25" customHeight="1">
      <c r="C111" s="1"/>
    </row>
    <row r="112" spans="3:3" ht="14.25" customHeight="1">
      <c r="C112" s="1"/>
    </row>
    <row r="113" spans="3:3" ht="14.25" customHeight="1">
      <c r="C113" s="1"/>
    </row>
    <row r="114" spans="3:3" ht="14.25" customHeight="1">
      <c r="C114" s="1"/>
    </row>
    <row r="115" spans="3:3" ht="14.25" customHeight="1">
      <c r="C115" s="1"/>
    </row>
    <row r="116" spans="3:3" ht="14.25" customHeight="1">
      <c r="C116" s="1"/>
    </row>
    <row r="117" spans="3:3" ht="14.25" customHeight="1">
      <c r="C117" s="1"/>
    </row>
    <row r="118" spans="3:3" ht="14.25" customHeight="1">
      <c r="C118" s="1"/>
    </row>
    <row r="119" spans="3:3" ht="14.25" customHeight="1">
      <c r="C119" s="1"/>
    </row>
    <row r="120" spans="3:3" ht="14.25" customHeight="1">
      <c r="C120" s="1"/>
    </row>
    <row r="121" spans="3:3" ht="14.25" customHeight="1">
      <c r="C121" s="1"/>
    </row>
    <row r="122" spans="3:3" ht="14.25" customHeight="1">
      <c r="C122" s="1"/>
    </row>
    <row r="123" spans="3:3" ht="14.25" customHeight="1">
      <c r="C123" s="1"/>
    </row>
    <row r="124" spans="3:3" ht="14.25" customHeight="1">
      <c r="C124" s="1"/>
    </row>
    <row r="125" spans="3:3" ht="14.25" customHeight="1">
      <c r="C125" s="1"/>
    </row>
    <row r="126" spans="3:3" ht="14.25" customHeight="1">
      <c r="C126" s="1"/>
    </row>
    <row r="127" spans="3:3" ht="14.25" customHeight="1">
      <c r="C127" s="1"/>
    </row>
    <row r="128" spans="3:3" ht="14.25" customHeight="1">
      <c r="C128" s="1"/>
    </row>
    <row r="129" spans="3:3" ht="14.25" customHeight="1">
      <c r="C129" s="1"/>
    </row>
    <row r="130" spans="3:3" ht="14.25" customHeight="1">
      <c r="C130" s="1"/>
    </row>
    <row r="131" spans="3:3" ht="14.25" customHeight="1">
      <c r="C131" s="1"/>
    </row>
    <row r="132" spans="3:3" ht="14.25" customHeight="1">
      <c r="C132" s="1"/>
    </row>
    <row r="133" spans="3:3" ht="14.25" customHeight="1">
      <c r="C133" s="1"/>
    </row>
    <row r="134" spans="3:3" ht="14.25" customHeight="1">
      <c r="C134" s="1"/>
    </row>
    <row r="135" spans="3:3" ht="14.25" customHeight="1">
      <c r="C135" s="1"/>
    </row>
    <row r="136" spans="3:3" ht="14.25" customHeight="1">
      <c r="C136" s="1"/>
    </row>
    <row r="137" spans="3:3" ht="14.25" customHeight="1">
      <c r="C137" s="1"/>
    </row>
    <row r="138" spans="3:3" ht="14.25" customHeight="1">
      <c r="C138" s="1"/>
    </row>
    <row r="139" spans="3:3" ht="14.25" customHeight="1">
      <c r="C139" s="1"/>
    </row>
    <row r="140" spans="3:3" ht="14.25" customHeight="1">
      <c r="C140" s="1"/>
    </row>
    <row r="141" spans="3:3" ht="14.25" customHeight="1">
      <c r="C141" s="1"/>
    </row>
    <row r="142" spans="3:3" ht="14.25" customHeight="1">
      <c r="C142" s="1"/>
    </row>
    <row r="143" spans="3:3" ht="14.25" customHeight="1">
      <c r="C143" s="1"/>
    </row>
    <row r="144" spans="3:3" ht="14.25" customHeight="1">
      <c r="C144" s="1"/>
    </row>
    <row r="145" spans="3:3" ht="14.25" customHeight="1">
      <c r="C145" s="1"/>
    </row>
    <row r="146" spans="3:3" ht="14.25" customHeight="1">
      <c r="C146" s="1"/>
    </row>
    <row r="147" spans="3:3" ht="14.25" customHeight="1">
      <c r="C147" s="1"/>
    </row>
    <row r="148" spans="3:3" ht="14.25" customHeight="1">
      <c r="C148" s="1"/>
    </row>
    <row r="149" spans="3:3" ht="14.25" customHeight="1">
      <c r="C149" s="1"/>
    </row>
    <row r="150" spans="3:3" ht="14.25" customHeight="1">
      <c r="C150" s="1"/>
    </row>
    <row r="151" spans="3:3" ht="14.25" customHeight="1">
      <c r="C151" s="1"/>
    </row>
    <row r="152" spans="3:3" ht="14.25" customHeight="1">
      <c r="C152" s="1"/>
    </row>
    <row r="153" spans="3:3" ht="14.25" customHeight="1">
      <c r="C153" s="1"/>
    </row>
    <row r="154" spans="3:3" ht="14.25" customHeight="1">
      <c r="C154" s="1"/>
    </row>
    <row r="155" spans="3:3" ht="14.25" customHeight="1">
      <c r="C155" s="1"/>
    </row>
    <row r="156" spans="3:3" ht="14.25" customHeight="1">
      <c r="C156" s="1"/>
    </row>
    <row r="157" spans="3:3" ht="14.25" customHeight="1">
      <c r="C157" s="1"/>
    </row>
    <row r="158" spans="3:3" ht="14.25" customHeight="1">
      <c r="C158" s="1"/>
    </row>
    <row r="159" spans="3:3" ht="14.25" customHeight="1">
      <c r="C159" s="1"/>
    </row>
    <row r="160" spans="3:3" ht="14.25" customHeight="1">
      <c r="C160" s="1"/>
    </row>
    <row r="161" spans="3:3" ht="14.25" customHeight="1">
      <c r="C161" s="1"/>
    </row>
    <row r="162" spans="3:3" ht="14.25" customHeight="1">
      <c r="C162" s="1"/>
    </row>
    <row r="163" spans="3:3" ht="14.25" customHeight="1">
      <c r="C163" s="1"/>
    </row>
    <row r="164" spans="3:3" ht="14.25" customHeight="1">
      <c r="C164" s="1"/>
    </row>
    <row r="165" spans="3:3" ht="14.25" customHeight="1">
      <c r="C165" s="1"/>
    </row>
    <row r="166" spans="3:3" ht="14.25" customHeight="1">
      <c r="C166" s="1"/>
    </row>
    <row r="167" spans="3:3" ht="14.25" customHeight="1">
      <c r="C167" s="1"/>
    </row>
    <row r="168" spans="3:3" ht="14.25" customHeight="1">
      <c r="C168" s="1"/>
    </row>
    <row r="169" spans="3:3" ht="14.25" customHeight="1">
      <c r="C169" s="1"/>
    </row>
    <row r="170" spans="3:3" ht="14.25" customHeight="1">
      <c r="C170" s="1"/>
    </row>
    <row r="171" spans="3:3" ht="14.25" customHeight="1">
      <c r="C171" s="1"/>
    </row>
    <row r="172" spans="3:3" ht="14.25" customHeight="1">
      <c r="C172" s="1"/>
    </row>
    <row r="173" spans="3:3" ht="14.25" customHeight="1">
      <c r="C173" s="1"/>
    </row>
    <row r="174" spans="3:3" ht="14.25" customHeight="1">
      <c r="C174" s="1"/>
    </row>
    <row r="175" spans="3:3" ht="14.25" customHeight="1">
      <c r="C175" s="1"/>
    </row>
    <row r="176" spans="3:3" ht="14.25" customHeight="1">
      <c r="C176" s="1"/>
    </row>
    <row r="177" spans="3:3" ht="14.25" customHeight="1">
      <c r="C177" s="1"/>
    </row>
    <row r="178" spans="3:3" ht="14.25" customHeight="1">
      <c r="C178" s="1"/>
    </row>
    <row r="179" spans="3:3" ht="14.25" customHeight="1">
      <c r="C179" s="1"/>
    </row>
    <row r="180" spans="3:3" ht="14.25" customHeight="1">
      <c r="C180" s="1"/>
    </row>
    <row r="181" spans="3:3" ht="14.25" customHeight="1">
      <c r="C181" s="1"/>
    </row>
    <row r="182" spans="3:3" ht="14.25" customHeight="1">
      <c r="C182" s="1"/>
    </row>
    <row r="183" spans="3:3" ht="14.25" customHeight="1">
      <c r="C183" s="1"/>
    </row>
    <row r="184" spans="3:3" ht="14.25" customHeight="1">
      <c r="C184" s="1"/>
    </row>
    <row r="185" spans="3:3" ht="14.25" customHeight="1">
      <c r="C185" s="1"/>
    </row>
    <row r="186" spans="3:3" ht="14.25" customHeight="1">
      <c r="C186" s="1"/>
    </row>
    <row r="187" spans="3:3" ht="14.25" customHeight="1">
      <c r="C187" s="1"/>
    </row>
    <row r="188" spans="3:3" ht="14.25" customHeight="1">
      <c r="C188" s="1"/>
    </row>
    <row r="189" spans="3:3" ht="14.25" customHeight="1">
      <c r="C189" s="1"/>
    </row>
    <row r="190" spans="3:3" ht="14.25" customHeight="1">
      <c r="C190" s="1"/>
    </row>
    <row r="191" spans="3:3" ht="14.25" customHeight="1">
      <c r="C191" s="1"/>
    </row>
    <row r="192" spans="3:3" ht="14.25" customHeight="1">
      <c r="C192" s="1"/>
    </row>
    <row r="193" spans="3:3" ht="14.25" customHeight="1">
      <c r="C193" s="1"/>
    </row>
    <row r="194" spans="3:3" ht="14.25" customHeight="1">
      <c r="C194" s="1"/>
    </row>
    <row r="195" spans="3:3" ht="14.25" customHeight="1">
      <c r="C195" s="1"/>
    </row>
    <row r="196" spans="3:3" ht="14.25" customHeight="1">
      <c r="C196" s="1"/>
    </row>
    <row r="197" spans="3:3" ht="14.25" customHeight="1">
      <c r="C197" s="1"/>
    </row>
    <row r="198" spans="3:3" ht="14.25" customHeight="1">
      <c r="C198" s="1"/>
    </row>
    <row r="199" spans="3:3" ht="14.25" customHeight="1">
      <c r="C199" s="1"/>
    </row>
    <row r="200" spans="3:3" ht="14.25" customHeight="1">
      <c r="C200" s="1"/>
    </row>
    <row r="201" spans="3:3" ht="14.25" customHeight="1">
      <c r="C201" s="1"/>
    </row>
    <row r="202" spans="3:3" ht="14.25" customHeight="1">
      <c r="C202" s="1"/>
    </row>
    <row r="203" spans="3:3" ht="14.25" customHeight="1">
      <c r="C203" s="1"/>
    </row>
    <row r="204" spans="3:3" ht="14.25" customHeight="1">
      <c r="C204" s="1"/>
    </row>
    <row r="205" spans="3:3" ht="14.25" customHeight="1">
      <c r="C205" s="1"/>
    </row>
    <row r="206" spans="3:3" ht="14.25" customHeight="1">
      <c r="C206" s="1"/>
    </row>
    <row r="207" spans="3:3" ht="14.25" customHeight="1">
      <c r="C207" s="1"/>
    </row>
    <row r="208" spans="3:3" ht="14.25" customHeight="1">
      <c r="C208" s="1"/>
    </row>
    <row r="209" spans="3:3" ht="14.25" customHeight="1">
      <c r="C209" s="1"/>
    </row>
    <row r="210" spans="3:3" ht="14.25" customHeight="1">
      <c r="C210" s="1"/>
    </row>
    <row r="211" spans="3:3" ht="14.25" customHeight="1">
      <c r="C211" s="1"/>
    </row>
    <row r="212" spans="3:3" ht="14.25" customHeight="1">
      <c r="C212" s="1"/>
    </row>
    <row r="213" spans="3:3" ht="14.25" customHeight="1">
      <c r="C213" s="1"/>
    </row>
    <row r="214" spans="3:3" ht="14.25" customHeight="1">
      <c r="C214" s="1"/>
    </row>
    <row r="215" spans="3:3" ht="14.25" customHeight="1">
      <c r="C215" s="1"/>
    </row>
    <row r="216" spans="3:3" ht="14.25" customHeight="1">
      <c r="C216" s="1"/>
    </row>
    <row r="217" spans="3:3" ht="14.25" customHeight="1">
      <c r="C217" s="1"/>
    </row>
    <row r="218" spans="3:3" ht="14.25" customHeight="1">
      <c r="C218" s="1"/>
    </row>
    <row r="219" spans="3:3" ht="14.25" customHeight="1">
      <c r="C219" s="1"/>
    </row>
    <row r="220" spans="3:3" ht="14.25" customHeight="1">
      <c r="C220" s="1"/>
    </row>
    <row r="221" spans="3:3" ht="15.75" customHeight="1"/>
    <row r="222" spans="3:3" ht="15.75" customHeight="1"/>
    <row r="223" spans="3:3" ht="15.75" customHeight="1"/>
    <row r="224" spans="3:3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C17:D17"/>
    <mergeCell ref="C18:D18"/>
    <mergeCell ref="C19:D19"/>
    <mergeCell ref="C9:D9"/>
    <mergeCell ref="C10:D10"/>
    <mergeCell ref="C11:D11"/>
    <mergeCell ref="C12:D12"/>
    <mergeCell ref="C13:D13"/>
    <mergeCell ref="C14:D14"/>
    <mergeCell ref="C15:D15"/>
    <mergeCell ref="B7:B8"/>
    <mergeCell ref="C7:D8"/>
    <mergeCell ref="E7:E8"/>
    <mergeCell ref="F7:F8"/>
    <mergeCell ref="C16:D16"/>
    <mergeCell ref="G7:G8"/>
    <mergeCell ref="I7:I8"/>
    <mergeCell ref="J7:J8"/>
    <mergeCell ref="K7:K8"/>
    <mergeCell ref="C3:K4"/>
    <mergeCell ref="E5:K5"/>
    <mergeCell ref="F6:K6"/>
  </mergeCells>
  <printOptions horizontalCentered="1" verticalCentered="1"/>
  <pageMargins left="0.47" right="0.70866141732283472" top="0.74803149606299213" bottom="0.74803149606299213" header="0" footer="0"/>
  <pageSetup paperSize="9" scale="56" orientation="landscape"/>
  <headerFooter>
    <oddFooter>&amp;LElaborado por: Ing Jenny A Ruiz R, Mónica  Gómez Docentes TC del Departamento de Ciencias de la  Computación IREB PROYECTO DE CHECK LIST  (CASO DE ESTUDIO ACADÉMICO)&amp;C&amp;P de &amp;R&amp;D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topLeftCell="A37" workbookViewId="0">
      <selection activeCell="A35" sqref="A35:B35"/>
    </sheetView>
  </sheetViews>
  <sheetFormatPr baseColWidth="10" defaultColWidth="14.453125" defaultRowHeight="15" customHeight="1"/>
  <cols>
    <col min="1" max="1" width="10.7265625" customWidth="1"/>
    <col min="2" max="2" width="36.453125" customWidth="1"/>
    <col min="3" max="3" width="16.08984375" customWidth="1"/>
    <col min="4" max="24" width="10.7265625" customWidth="1"/>
  </cols>
  <sheetData>
    <row r="1" spans="1:26" ht="51" customHeight="1">
      <c r="A1" s="13"/>
      <c r="B1" s="14" t="s">
        <v>1</v>
      </c>
      <c r="C1" s="52" t="s">
        <v>54</v>
      </c>
      <c r="D1" s="38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4.25" customHeight="1">
      <c r="B2" s="15" t="s">
        <v>55</v>
      </c>
      <c r="C2" s="53">
        <v>46126</v>
      </c>
      <c r="D2" s="38"/>
    </row>
    <row r="3" spans="1:26" ht="14.25" customHeight="1">
      <c r="B3" s="15" t="s">
        <v>56</v>
      </c>
      <c r="C3" s="54" t="s">
        <v>57</v>
      </c>
      <c r="D3" s="38"/>
    </row>
    <row r="4" spans="1:26" ht="14.25" customHeight="1">
      <c r="B4" s="15" t="s">
        <v>58</v>
      </c>
      <c r="C4" s="54" t="s">
        <v>59</v>
      </c>
      <c r="D4" s="38"/>
    </row>
    <row r="5" spans="1:26" ht="14.25" customHeight="1"/>
    <row r="6" spans="1:26" ht="30.75" customHeight="1">
      <c r="A6" s="50" t="s">
        <v>60</v>
      </c>
      <c r="B6" s="38"/>
      <c r="C6" s="38"/>
      <c r="D6" s="38"/>
    </row>
    <row r="7" spans="1:26" ht="30.75" customHeight="1">
      <c r="A7" s="16" t="s">
        <v>61</v>
      </c>
      <c r="B7" s="17" t="s">
        <v>62</v>
      </c>
      <c r="C7" s="17" t="s">
        <v>63</v>
      </c>
      <c r="D7" s="18" t="s">
        <v>64</v>
      </c>
    </row>
    <row r="8" spans="1:26" ht="30.75" customHeight="1">
      <c r="A8" s="19">
        <v>1</v>
      </c>
      <c r="B8" s="20" t="s">
        <v>65</v>
      </c>
      <c r="C8" s="21" t="s">
        <v>66</v>
      </c>
      <c r="D8" s="22"/>
    </row>
    <row r="9" spans="1:26" ht="30.75" customHeight="1">
      <c r="A9" s="19">
        <v>2</v>
      </c>
      <c r="B9" s="20" t="s">
        <v>67</v>
      </c>
      <c r="C9" s="21" t="s">
        <v>105</v>
      </c>
      <c r="D9" s="22"/>
    </row>
    <row r="10" spans="1:26" ht="30.75" customHeight="1">
      <c r="A10" s="19">
        <v>3</v>
      </c>
      <c r="B10" s="20" t="s">
        <v>68</v>
      </c>
      <c r="C10" s="21" t="s">
        <v>66</v>
      </c>
      <c r="D10" s="22"/>
    </row>
    <row r="11" spans="1:26" ht="30.75" customHeight="1">
      <c r="A11" s="19">
        <v>4</v>
      </c>
      <c r="B11" s="20" t="s">
        <v>69</v>
      </c>
      <c r="C11" s="21" t="s">
        <v>66</v>
      </c>
      <c r="D11" s="22"/>
    </row>
    <row r="12" spans="1:26" ht="30.75" customHeight="1">
      <c r="A12" s="19">
        <v>5</v>
      </c>
      <c r="B12" s="20" t="s">
        <v>70</v>
      </c>
      <c r="C12" s="21" t="s">
        <v>66</v>
      </c>
      <c r="D12" s="22"/>
    </row>
    <row r="13" spans="1:26" ht="30.75" customHeight="1">
      <c r="A13" s="19">
        <v>6</v>
      </c>
      <c r="B13" s="20" t="s">
        <v>71</v>
      </c>
      <c r="C13" s="21" t="s">
        <v>66</v>
      </c>
      <c r="D13" s="22"/>
    </row>
    <row r="14" spans="1:26" ht="30.75" customHeight="1">
      <c r="A14" s="19">
        <v>7</v>
      </c>
      <c r="B14" s="20" t="s">
        <v>72</v>
      </c>
      <c r="C14" s="21" t="s">
        <v>66</v>
      </c>
      <c r="D14" s="22"/>
    </row>
    <row r="15" spans="1:26" ht="43.5">
      <c r="A15" s="19">
        <v>8</v>
      </c>
      <c r="B15" s="20" t="s">
        <v>73</v>
      </c>
      <c r="C15" s="21" t="s">
        <v>66</v>
      </c>
      <c r="D15" s="22"/>
    </row>
    <row r="16" spans="1:26" ht="58">
      <c r="A16" s="23">
        <v>9</v>
      </c>
      <c r="B16" s="24" t="s">
        <v>74</v>
      </c>
      <c r="C16" s="25"/>
      <c r="D16" s="25" t="s">
        <v>66</v>
      </c>
    </row>
    <row r="17" spans="1:4" ht="20.25" customHeight="1">
      <c r="A17" s="49" t="s">
        <v>75</v>
      </c>
      <c r="B17" s="38"/>
      <c r="C17" s="8">
        <f>COUNTA('MODELO LISTA DE COMPROBACION - '!$C$8:$C$16)</f>
        <v>8</v>
      </c>
      <c r="D17" s="8">
        <f>COUNTA('MODELO LISTA DE COMPROBACION - '!$D$8:$D$16)</f>
        <v>1</v>
      </c>
    </row>
    <row r="18" spans="1:4" ht="20.25" customHeight="1">
      <c r="A18" s="49" t="s">
        <v>76</v>
      </c>
      <c r="B18" s="38"/>
      <c r="C18" s="27">
        <f t="shared" ref="C18:D18" si="0">C17/9</f>
        <v>0.88888888888888884</v>
      </c>
      <c r="D18" s="27">
        <f t="shared" si="0"/>
        <v>0.1111111111111111</v>
      </c>
    </row>
    <row r="19" spans="1:4" ht="14.25" customHeight="1">
      <c r="A19" s="26"/>
      <c r="B19" s="26"/>
      <c r="C19" s="27"/>
      <c r="D19" s="8"/>
    </row>
    <row r="20" spans="1:4" ht="25.5" customHeight="1">
      <c r="A20" s="55" t="s">
        <v>77</v>
      </c>
      <c r="B20" s="56"/>
      <c r="C20" s="56"/>
      <c r="D20" s="56"/>
    </row>
    <row r="21" spans="1:4" ht="20.25" customHeight="1">
      <c r="A21" s="28" t="s">
        <v>61</v>
      </c>
      <c r="B21" s="29" t="s">
        <v>62</v>
      </c>
      <c r="C21" s="30" t="s">
        <v>63</v>
      </c>
      <c r="D21" s="31" t="s">
        <v>64</v>
      </c>
    </row>
    <row r="22" spans="1:4" ht="32.25" customHeight="1">
      <c r="A22" s="19">
        <v>1</v>
      </c>
      <c r="B22" s="20" t="s">
        <v>78</v>
      </c>
      <c r="C22" s="25" t="s">
        <v>66</v>
      </c>
      <c r="D22" s="22"/>
    </row>
    <row r="23" spans="1:4" ht="29">
      <c r="A23" s="19">
        <v>2</v>
      </c>
      <c r="B23" s="20" t="s">
        <v>79</v>
      </c>
      <c r="C23" s="25" t="s">
        <v>66</v>
      </c>
      <c r="D23" s="22"/>
    </row>
    <row r="24" spans="1:4" ht="29">
      <c r="A24" s="19">
        <v>3</v>
      </c>
      <c r="B24" s="20" t="s">
        <v>80</v>
      </c>
      <c r="C24" s="25" t="s">
        <v>66</v>
      </c>
      <c r="D24" s="22"/>
    </row>
    <row r="25" spans="1:4" ht="34.5" customHeight="1">
      <c r="A25" s="19">
        <v>4</v>
      </c>
      <c r="B25" s="20" t="s">
        <v>81</v>
      </c>
      <c r="C25" s="25" t="s">
        <v>66</v>
      </c>
      <c r="D25" s="22"/>
    </row>
    <row r="26" spans="1:4" ht="40.5" customHeight="1">
      <c r="A26" s="23">
        <v>5</v>
      </c>
      <c r="B26" s="24" t="s">
        <v>82</v>
      </c>
      <c r="C26" s="25" t="s">
        <v>66</v>
      </c>
      <c r="D26" s="32"/>
    </row>
    <row r="27" spans="1:4" ht="24.75" customHeight="1">
      <c r="A27" s="49" t="s">
        <v>75</v>
      </c>
      <c r="B27" s="38"/>
      <c r="C27" s="8">
        <f>COUNTA('MODELO LISTA DE COMPROBACION - '!$C$22:$C$26)</f>
        <v>5</v>
      </c>
      <c r="D27" s="8">
        <f>COUNTA('MODELO LISTA DE COMPROBACION - '!$D$22:$D$26)</f>
        <v>0</v>
      </c>
    </row>
    <row r="28" spans="1:4" ht="28.5" customHeight="1">
      <c r="A28" s="49" t="s">
        <v>76</v>
      </c>
      <c r="B28" s="38"/>
      <c r="C28" s="27">
        <f t="shared" ref="C28:D28" si="1">C27/5</f>
        <v>1</v>
      </c>
      <c r="D28" s="27">
        <f t="shared" si="1"/>
        <v>0</v>
      </c>
    </row>
    <row r="29" spans="1:4" ht="14.25" customHeight="1">
      <c r="A29" s="26"/>
      <c r="B29" s="26"/>
      <c r="C29" s="27"/>
      <c r="D29" s="8"/>
    </row>
    <row r="30" spans="1:4" ht="24" customHeight="1">
      <c r="A30" s="50" t="s">
        <v>83</v>
      </c>
      <c r="B30" s="38"/>
      <c r="C30" s="38"/>
      <c r="D30" s="38"/>
    </row>
    <row r="31" spans="1:4" ht="24" customHeight="1">
      <c r="A31" s="28" t="s">
        <v>61</v>
      </c>
      <c r="B31" s="29" t="s">
        <v>62</v>
      </c>
      <c r="C31" s="30" t="s">
        <v>63</v>
      </c>
      <c r="D31" s="31" t="s">
        <v>64</v>
      </c>
    </row>
    <row r="32" spans="1:4" ht="37.5" customHeight="1">
      <c r="A32" s="19">
        <v>1</v>
      </c>
      <c r="B32" s="20" t="s">
        <v>84</v>
      </c>
      <c r="C32" s="25" t="s">
        <v>66</v>
      </c>
      <c r="D32" s="25"/>
    </row>
    <row r="33" spans="1:4" ht="48" customHeight="1">
      <c r="A33" s="19">
        <v>2</v>
      </c>
      <c r="B33" s="20" t="s">
        <v>85</v>
      </c>
      <c r="C33" s="25" t="s">
        <v>66</v>
      </c>
      <c r="D33" s="25"/>
    </row>
    <row r="34" spans="1:4" ht="37.5" customHeight="1">
      <c r="A34" s="23">
        <v>3</v>
      </c>
      <c r="B34" s="24" t="s">
        <v>86</v>
      </c>
      <c r="C34" s="25"/>
      <c r="D34" s="25" t="s">
        <v>66</v>
      </c>
    </row>
    <row r="35" spans="1:4" ht="24" customHeight="1">
      <c r="A35" s="49" t="s">
        <v>75</v>
      </c>
      <c r="B35" s="38"/>
      <c r="C35" s="8">
        <f>COUNTA('MODELO LISTA DE COMPROBACION - '!$C$32:$C$34)</f>
        <v>2</v>
      </c>
      <c r="D35" s="8">
        <f>COUNTA('MODELO LISTA DE COMPROBACION - '!$D$32:$D$34)</f>
        <v>1</v>
      </c>
    </row>
    <row r="36" spans="1:4" ht="24" customHeight="1">
      <c r="A36" s="49" t="s">
        <v>76</v>
      </c>
      <c r="B36" s="38"/>
      <c r="C36" s="27">
        <f t="shared" ref="C36:D36" si="2">C35/3</f>
        <v>0.66666666666666663</v>
      </c>
      <c r="D36" s="27">
        <f t="shared" si="2"/>
        <v>0.33333333333333331</v>
      </c>
    </row>
    <row r="37" spans="1:4" ht="14.25" customHeight="1"/>
    <row r="38" spans="1:4" ht="14.25" customHeight="1"/>
    <row r="39" spans="1:4" ht="14.25" customHeight="1"/>
    <row r="40" spans="1:4" ht="14.25" customHeight="1">
      <c r="A40" s="51" t="s">
        <v>87</v>
      </c>
      <c r="B40" s="38"/>
      <c r="C40" s="38"/>
    </row>
    <row r="41" spans="1:4" ht="30" customHeight="1">
      <c r="B41" s="13" t="s">
        <v>88</v>
      </c>
      <c r="C41" s="8">
        <v>89</v>
      </c>
    </row>
    <row r="42" spans="1:4" ht="30" customHeight="1">
      <c r="B42" s="13" t="s">
        <v>77</v>
      </c>
      <c r="C42" s="8">
        <v>100</v>
      </c>
    </row>
    <row r="43" spans="1:4" ht="30" customHeight="1">
      <c r="B43" s="13" t="s">
        <v>83</v>
      </c>
      <c r="C43" s="8">
        <v>67</v>
      </c>
    </row>
    <row r="44" spans="1:4" ht="14.25" customHeight="1">
      <c r="C44" s="8"/>
    </row>
    <row r="45" spans="1:4" ht="14.25" customHeight="1">
      <c r="C45" s="8"/>
    </row>
    <row r="46" spans="1:4" ht="14.25" customHeight="1"/>
    <row r="47" spans="1:4" ht="14.25" customHeight="1"/>
    <row r="48" spans="1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36:B36"/>
    <mergeCell ref="A40:C40"/>
    <mergeCell ref="C1:D1"/>
    <mergeCell ref="C2:D2"/>
    <mergeCell ref="C3:D3"/>
    <mergeCell ref="C4:D4"/>
    <mergeCell ref="A6:D6"/>
    <mergeCell ref="A17:B17"/>
    <mergeCell ref="A20:D20"/>
    <mergeCell ref="A18:B18"/>
    <mergeCell ref="A27:B27"/>
    <mergeCell ref="A28:B28"/>
    <mergeCell ref="A30:D30"/>
    <mergeCell ref="A35:B35"/>
  </mergeCells>
  <conditionalFormatting sqref="A32:D34">
    <cfRule type="containsText" dxfId="23" priority="1" operator="containsText" text="X">
      <formula>NOT(ISERROR(SEARCH(("X"),(A32))))</formula>
    </cfRule>
  </conditionalFormatting>
  <conditionalFormatting sqref="C8:D16 C22:C26 C32:D34">
    <cfRule type="containsText" dxfId="22" priority="2" operator="containsText" text="X">
      <formula>NOT(ISERROR(SEARCH(("X"),(C8))))</formula>
    </cfRule>
  </conditionalFormatting>
  <conditionalFormatting sqref="C8:D16 C22:C26 C32:D34">
    <cfRule type="containsText" dxfId="21" priority="3" operator="containsText" text="X">
      <formula>NOT(ISERROR(SEARCH(("X"),(C8))))</formula>
    </cfRule>
  </conditionalFormatting>
  <conditionalFormatting sqref="C8:D16 C22:C26 C32:D34">
    <cfRule type="containsText" dxfId="20" priority="4" operator="containsText" text="X">
      <formula>NOT(ISERROR(SEARCH(("X"),(C8))))</formula>
    </cfRule>
  </conditionalFormatting>
  <conditionalFormatting sqref="C8:D16 C22:C26 C32:D34">
    <cfRule type="containsText" dxfId="19" priority="5" operator="containsText" text="X">
      <formula>NOT(ISERROR(SEARCH(("X"),(C8))))</formula>
    </cfRule>
  </conditionalFormatting>
  <conditionalFormatting sqref="C22:D26">
    <cfRule type="containsText" dxfId="18" priority="6" operator="containsText" text="X">
      <formula>NOT(ISERROR(SEARCH(("X"),(C22))))</formula>
    </cfRule>
  </conditionalFormatting>
  <conditionalFormatting sqref="C22:D26">
    <cfRule type="containsText" dxfId="17" priority="7" operator="containsText" text="X">
      <formula>NOT(ISERROR(SEARCH(("X"),(C22))))</formula>
    </cfRule>
  </conditionalFormatting>
  <conditionalFormatting sqref="C32:D34">
    <cfRule type="containsText" dxfId="16" priority="8" operator="containsText" text="X">
      <formula>NOT(ISERROR(SEARCH(("X"),(C32))))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53125" defaultRowHeight="15" customHeight="1"/>
  <cols>
    <col min="1" max="1" width="10.7265625" customWidth="1"/>
    <col min="2" max="2" width="36.453125" customWidth="1"/>
    <col min="3" max="3" width="16.08984375" customWidth="1"/>
    <col min="4" max="4" width="21.54296875" customWidth="1"/>
    <col min="5" max="24" width="10.7265625" customWidth="1"/>
  </cols>
  <sheetData>
    <row r="1" spans="1:26" ht="51" customHeight="1">
      <c r="A1" s="13"/>
      <c r="B1" s="14" t="s">
        <v>1</v>
      </c>
      <c r="C1" s="52" t="s">
        <v>54</v>
      </c>
      <c r="D1" s="38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4.25" customHeight="1">
      <c r="B2" s="15" t="s">
        <v>55</v>
      </c>
      <c r="C2" s="53">
        <v>46126</v>
      </c>
      <c r="D2" s="38"/>
    </row>
    <row r="3" spans="1:26" ht="14.25" customHeight="1">
      <c r="B3" s="15" t="s">
        <v>56</v>
      </c>
      <c r="C3" s="54" t="s">
        <v>89</v>
      </c>
      <c r="D3" s="38"/>
    </row>
    <row r="4" spans="1:26" ht="14.25" customHeight="1">
      <c r="B4" s="15" t="s">
        <v>58</v>
      </c>
      <c r="C4" s="54" t="s">
        <v>90</v>
      </c>
      <c r="D4" s="38"/>
    </row>
    <row r="5" spans="1:26" ht="14.25" customHeight="1"/>
    <row r="6" spans="1:26" ht="30.75" customHeight="1">
      <c r="A6" s="50" t="s">
        <v>60</v>
      </c>
      <c r="B6" s="38"/>
      <c r="C6" s="38"/>
      <c r="D6" s="38"/>
    </row>
    <row r="7" spans="1:26" ht="30.75" customHeight="1">
      <c r="A7" s="16" t="s">
        <v>61</v>
      </c>
      <c r="B7" s="17" t="s">
        <v>62</v>
      </c>
      <c r="C7" s="17" t="s">
        <v>63</v>
      </c>
      <c r="D7" s="18" t="s">
        <v>64</v>
      </c>
    </row>
    <row r="8" spans="1:26" ht="30.75" customHeight="1">
      <c r="A8" s="19">
        <v>1</v>
      </c>
      <c r="B8" s="20" t="s">
        <v>65</v>
      </c>
      <c r="C8" s="21" t="s">
        <v>66</v>
      </c>
      <c r="D8" s="22"/>
    </row>
    <row r="9" spans="1:26" ht="30.75" customHeight="1">
      <c r="A9" s="19">
        <v>2</v>
      </c>
      <c r="B9" s="20" t="s">
        <v>67</v>
      </c>
      <c r="C9" s="21" t="s">
        <v>66</v>
      </c>
      <c r="D9" s="22"/>
    </row>
    <row r="10" spans="1:26" ht="30.75" customHeight="1">
      <c r="A10" s="19">
        <v>3</v>
      </c>
      <c r="B10" s="20" t="s">
        <v>68</v>
      </c>
      <c r="C10" s="21"/>
      <c r="D10" s="25" t="s">
        <v>66</v>
      </c>
    </row>
    <row r="11" spans="1:26" ht="30.75" customHeight="1">
      <c r="A11" s="19">
        <v>4</v>
      </c>
      <c r="B11" s="20" t="s">
        <v>69</v>
      </c>
      <c r="C11" s="21" t="s">
        <v>66</v>
      </c>
      <c r="D11" s="22"/>
    </row>
    <row r="12" spans="1:26" ht="30.75" customHeight="1">
      <c r="A12" s="19">
        <v>5</v>
      </c>
      <c r="B12" s="20" t="s">
        <v>70</v>
      </c>
      <c r="C12" s="21" t="s">
        <v>66</v>
      </c>
      <c r="D12" s="22"/>
    </row>
    <row r="13" spans="1:26" ht="30.75" customHeight="1">
      <c r="A13" s="19">
        <v>6</v>
      </c>
      <c r="B13" s="20" t="s">
        <v>71</v>
      </c>
      <c r="C13" s="21" t="s">
        <v>66</v>
      </c>
      <c r="D13" s="22"/>
    </row>
    <row r="14" spans="1:26" ht="30.75" customHeight="1">
      <c r="A14" s="19">
        <v>7</v>
      </c>
      <c r="B14" s="20" t="s">
        <v>72</v>
      </c>
      <c r="C14" s="21" t="s">
        <v>66</v>
      </c>
      <c r="D14" s="22"/>
    </row>
    <row r="15" spans="1:26" ht="44.25" customHeight="1">
      <c r="A15" s="19">
        <v>8</v>
      </c>
      <c r="B15" s="20" t="s">
        <v>73</v>
      </c>
      <c r="C15" s="21" t="s">
        <v>66</v>
      </c>
      <c r="D15" s="22"/>
    </row>
    <row r="16" spans="1:26" ht="64.5" customHeight="1">
      <c r="A16" s="23">
        <v>9</v>
      </c>
      <c r="B16" s="24" t="s">
        <v>74</v>
      </c>
      <c r="C16" s="25"/>
      <c r="D16" s="25" t="s">
        <v>66</v>
      </c>
    </row>
    <row r="17" spans="1:4" ht="20.25" customHeight="1">
      <c r="A17" s="49" t="s">
        <v>75</v>
      </c>
      <c r="B17" s="38"/>
      <c r="C17" s="8">
        <f>COUNTA('Hoja 1'!$C$8:$C$16)</f>
        <v>7</v>
      </c>
      <c r="D17" s="8">
        <f>COUNTA('Hoja 1'!$D$8:$D$16)</f>
        <v>2</v>
      </c>
    </row>
    <row r="18" spans="1:4" ht="20.25" customHeight="1">
      <c r="A18" s="49" t="s">
        <v>76</v>
      </c>
      <c r="B18" s="38"/>
      <c r="C18" s="27">
        <f t="shared" ref="C18:D18" si="0">C17/9</f>
        <v>0.77777777777777779</v>
      </c>
      <c r="D18" s="27">
        <f t="shared" si="0"/>
        <v>0.22222222222222221</v>
      </c>
    </row>
    <row r="19" spans="1:4" ht="14.25" customHeight="1">
      <c r="A19" s="26"/>
      <c r="B19" s="26"/>
      <c r="C19" s="27"/>
      <c r="D19" s="8"/>
    </row>
    <row r="20" spans="1:4" ht="25.5" customHeight="1">
      <c r="A20" s="55" t="s">
        <v>77</v>
      </c>
      <c r="B20" s="56"/>
      <c r="C20" s="56"/>
      <c r="D20" s="56"/>
    </row>
    <row r="21" spans="1:4" ht="20.25" customHeight="1">
      <c r="A21" s="28" t="s">
        <v>61</v>
      </c>
      <c r="B21" s="29" t="s">
        <v>62</v>
      </c>
      <c r="C21" s="30" t="s">
        <v>63</v>
      </c>
      <c r="D21" s="31" t="s">
        <v>64</v>
      </c>
    </row>
    <row r="22" spans="1:4" ht="32.25" customHeight="1">
      <c r="A22" s="19">
        <v>1</v>
      </c>
      <c r="B22" s="20" t="s">
        <v>78</v>
      </c>
      <c r="C22" s="25" t="s">
        <v>66</v>
      </c>
      <c r="D22" s="22"/>
    </row>
    <row r="23" spans="1:4" ht="29">
      <c r="A23" s="19">
        <v>2</v>
      </c>
      <c r="B23" s="20" t="s">
        <v>79</v>
      </c>
      <c r="C23" s="25" t="s">
        <v>66</v>
      </c>
      <c r="D23" s="22"/>
    </row>
    <row r="24" spans="1:4" ht="29">
      <c r="A24" s="19">
        <v>3</v>
      </c>
      <c r="B24" s="20" t="s">
        <v>80</v>
      </c>
      <c r="C24" s="25" t="s">
        <v>66</v>
      </c>
      <c r="D24" s="22"/>
    </row>
    <row r="25" spans="1:4" ht="34.5" customHeight="1">
      <c r="A25" s="19">
        <v>4</v>
      </c>
      <c r="B25" s="20" t="s">
        <v>81</v>
      </c>
      <c r="C25" s="25" t="s">
        <v>66</v>
      </c>
      <c r="D25" s="22"/>
    </row>
    <row r="26" spans="1:4" ht="40.5" customHeight="1">
      <c r="A26" s="23">
        <v>5</v>
      </c>
      <c r="B26" s="24" t="s">
        <v>82</v>
      </c>
      <c r="C26" s="25" t="s">
        <v>66</v>
      </c>
      <c r="D26" s="32"/>
    </row>
    <row r="27" spans="1:4" ht="24.75" customHeight="1">
      <c r="A27" s="49" t="s">
        <v>75</v>
      </c>
      <c r="B27" s="38"/>
      <c r="C27" s="8">
        <f>COUNTA('Hoja 1'!$C$22:$C$26)</f>
        <v>5</v>
      </c>
      <c r="D27" s="8">
        <f>COUNTA('Hoja 1'!$D$22:$D$26)</f>
        <v>0</v>
      </c>
    </row>
    <row r="28" spans="1:4" ht="28.5" customHeight="1">
      <c r="A28" s="49" t="s">
        <v>76</v>
      </c>
      <c r="B28" s="38"/>
      <c r="C28" s="27">
        <f t="shared" ref="C28:D28" si="1">C27/5</f>
        <v>1</v>
      </c>
      <c r="D28" s="27">
        <f t="shared" si="1"/>
        <v>0</v>
      </c>
    </row>
    <row r="29" spans="1:4" ht="14.25" customHeight="1">
      <c r="A29" s="26"/>
      <c r="B29" s="26"/>
      <c r="C29" s="27"/>
      <c r="D29" s="8"/>
    </row>
    <row r="30" spans="1:4" ht="24" customHeight="1">
      <c r="A30" s="50" t="s">
        <v>83</v>
      </c>
      <c r="B30" s="38"/>
      <c r="C30" s="38"/>
      <c r="D30" s="38"/>
    </row>
    <row r="31" spans="1:4" ht="24" customHeight="1">
      <c r="A31" s="28" t="s">
        <v>61</v>
      </c>
      <c r="B31" s="29" t="s">
        <v>62</v>
      </c>
      <c r="C31" s="30" t="s">
        <v>63</v>
      </c>
      <c r="D31" s="31" t="s">
        <v>64</v>
      </c>
    </row>
    <row r="32" spans="1:4" ht="37.5" customHeight="1">
      <c r="A32" s="19">
        <v>1</v>
      </c>
      <c r="B32" s="20" t="s">
        <v>84</v>
      </c>
      <c r="C32" s="25" t="s">
        <v>66</v>
      </c>
      <c r="D32" s="25"/>
    </row>
    <row r="33" spans="1:4" ht="37.5" customHeight="1">
      <c r="A33" s="19">
        <v>2</v>
      </c>
      <c r="B33" s="20" t="s">
        <v>85</v>
      </c>
      <c r="C33" s="25" t="s">
        <v>66</v>
      </c>
      <c r="D33" s="25"/>
    </row>
    <row r="34" spans="1:4" ht="37.5" customHeight="1">
      <c r="A34" s="23">
        <v>3</v>
      </c>
      <c r="B34" s="24" t="s">
        <v>86</v>
      </c>
      <c r="C34" s="25" t="s">
        <v>66</v>
      </c>
      <c r="D34" s="25"/>
    </row>
    <row r="35" spans="1:4" ht="24" customHeight="1">
      <c r="A35" s="49" t="s">
        <v>75</v>
      </c>
      <c r="B35" s="38"/>
      <c r="C35" s="8">
        <f>COUNTA('Hoja 1'!$C$32:$C$34)</f>
        <v>3</v>
      </c>
      <c r="D35" s="8">
        <f>COUNTA('Hoja 1'!$D$32:$D$34)</f>
        <v>0</v>
      </c>
    </row>
    <row r="36" spans="1:4" ht="24" customHeight="1">
      <c r="A36" s="49" t="s">
        <v>76</v>
      </c>
      <c r="B36" s="38"/>
      <c r="C36" s="27">
        <f t="shared" ref="C36:D36" si="2">C35/3</f>
        <v>1</v>
      </c>
      <c r="D36" s="27">
        <f t="shared" si="2"/>
        <v>0</v>
      </c>
    </row>
    <row r="37" spans="1:4" ht="14.25" customHeight="1"/>
    <row r="38" spans="1:4" ht="14.25" customHeight="1"/>
    <row r="39" spans="1:4" ht="14.25" customHeight="1"/>
    <row r="40" spans="1:4" ht="14.25" customHeight="1">
      <c r="A40" s="51" t="s">
        <v>87</v>
      </c>
      <c r="B40" s="38"/>
      <c r="C40" s="38"/>
    </row>
    <row r="41" spans="1:4" ht="30" customHeight="1">
      <c r="B41" s="13" t="s">
        <v>88</v>
      </c>
      <c r="C41" s="8">
        <v>89</v>
      </c>
    </row>
    <row r="42" spans="1:4" ht="30" customHeight="1">
      <c r="B42" s="13" t="s">
        <v>77</v>
      </c>
      <c r="C42" s="8">
        <v>100</v>
      </c>
    </row>
    <row r="43" spans="1:4" ht="30" customHeight="1">
      <c r="B43" s="13" t="s">
        <v>83</v>
      </c>
      <c r="C43" s="8">
        <v>100</v>
      </c>
    </row>
    <row r="44" spans="1:4" ht="14.25" customHeight="1">
      <c r="C44" s="8"/>
    </row>
    <row r="45" spans="1:4" ht="14.25" customHeight="1">
      <c r="C45" s="8"/>
    </row>
    <row r="46" spans="1:4" ht="14.25" customHeight="1"/>
    <row r="47" spans="1:4" ht="14.25" customHeight="1"/>
    <row r="48" spans="1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36:B36"/>
    <mergeCell ref="A40:C40"/>
    <mergeCell ref="C1:D1"/>
    <mergeCell ref="C2:D2"/>
    <mergeCell ref="C3:D3"/>
    <mergeCell ref="C4:D4"/>
    <mergeCell ref="A6:D6"/>
    <mergeCell ref="A17:B17"/>
    <mergeCell ref="A20:D20"/>
    <mergeCell ref="A18:B18"/>
    <mergeCell ref="A27:B27"/>
    <mergeCell ref="A28:B28"/>
    <mergeCell ref="A30:D30"/>
    <mergeCell ref="A35:B35"/>
  </mergeCells>
  <conditionalFormatting sqref="D10 D16 A32:D34">
    <cfRule type="containsText" dxfId="15" priority="1" operator="containsText" text="X">
      <formula>NOT(ISERROR(SEARCH(("X"),(D10))))</formula>
    </cfRule>
  </conditionalFormatting>
  <conditionalFormatting sqref="C8:D16 C22:C26 C32:D34">
    <cfRule type="containsText" dxfId="14" priority="2" operator="containsText" text="X">
      <formula>NOT(ISERROR(SEARCH(("X"),(C8))))</formula>
    </cfRule>
  </conditionalFormatting>
  <conditionalFormatting sqref="C8:D16 C22:C26 C32:D34">
    <cfRule type="containsText" dxfId="13" priority="3" operator="containsText" text="X">
      <formula>NOT(ISERROR(SEARCH(("X"),(C8))))</formula>
    </cfRule>
  </conditionalFormatting>
  <conditionalFormatting sqref="C8:D16 C22:C26 C32:D34">
    <cfRule type="containsText" dxfId="12" priority="4" operator="containsText" text="X">
      <formula>NOT(ISERROR(SEARCH(("X"),(C8))))</formula>
    </cfRule>
  </conditionalFormatting>
  <conditionalFormatting sqref="C8:D16 C22:C26 C32:D34">
    <cfRule type="containsText" dxfId="11" priority="5" operator="containsText" text="X">
      <formula>NOT(ISERROR(SEARCH(("X"),(C8))))</formula>
    </cfRule>
  </conditionalFormatting>
  <conditionalFormatting sqref="C22:D26">
    <cfRule type="containsText" dxfId="10" priority="6" operator="containsText" text="X">
      <formula>NOT(ISERROR(SEARCH(("X"),(C22))))</formula>
    </cfRule>
  </conditionalFormatting>
  <conditionalFormatting sqref="C22:D26">
    <cfRule type="containsText" dxfId="9" priority="7" operator="containsText" text="X">
      <formula>NOT(ISERROR(SEARCH(("X"),(C22))))</formula>
    </cfRule>
  </conditionalFormatting>
  <conditionalFormatting sqref="D10 D16 C32:D34">
    <cfRule type="containsText" dxfId="8" priority="8" operator="containsText" text="X">
      <formula>NOT(ISERROR(SEARCH(("X"),(D10))))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4.453125" defaultRowHeight="15" customHeight="1"/>
  <cols>
    <col min="1" max="1" width="10.7265625" customWidth="1"/>
    <col min="2" max="2" width="45.81640625" customWidth="1"/>
    <col min="3" max="3" width="16.08984375" customWidth="1"/>
    <col min="4" max="4" width="14" customWidth="1"/>
    <col min="5" max="24" width="10.7265625" customWidth="1"/>
  </cols>
  <sheetData>
    <row r="1" spans="1:26" ht="51" customHeight="1">
      <c r="A1" s="13"/>
      <c r="B1" s="14" t="s">
        <v>1</v>
      </c>
      <c r="C1" s="52" t="s">
        <v>54</v>
      </c>
      <c r="D1" s="38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7.25" customHeight="1">
      <c r="B2" s="15" t="s">
        <v>55</v>
      </c>
      <c r="C2" s="53">
        <v>46126</v>
      </c>
      <c r="D2" s="38"/>
    </row>
    <row r="3" spans="1:26" ht="20.25" customHeight="1">
      <c r="B3" s="15" t="s">
        <v>56</v>
      </c>
      <c r="C3" s="54" t="s">
        <v>91</v>
      </c>
      <c r="D3" s="38"/>
    </row>
    <row r="4" spans="1:26" ht="18.75" customHeight="1">
      <c r="B4" s="15" t="s">
        <v>58</v>
      </c>
      <c r="C4" s="54" t="s">
        <v>9</v>
      </c>
      <c r="D4" s="38"/>
    </row>
    <row r="5" spans="1:26" ht="14.25" customHeight="1"/>
    <row r="6" spans="1:26" ht="30.75" customHeight="1">
      <c r="A6" s="50" t="s">
        <v>60</v>
      </c>
      <c r="B6" s="38"/>
      <c r="C6" s="38"/>
      <c r="D6" s="38"/>
    </row>
    <row r="7" spans="1:26" ht="30.75" customHeight="1">
      <c r="A7" s="16" t="s">
        <v>61</v>
      </c>
      <c r="B7" s="17" t="s">
        <v>62</v>
      </c>
      <c r="C7" s="17" t="s">
        <v>63</v>
      </c>
      <c r="D7" s="18" t="s">
        <v>64</v>
      </c>
    </row>
    <row r="8" spans="1:26" ht="30.75" customHeight="1">
      <c r="A8" s="19">
        <v>1</v>
      </c>
      <c r="B8" s="20" t="s">
        <v>65</v>
      </c>
      <c r="C8" s="21" t="s">
        <v>66</v>
      </c>
      <c r="D8" s="22"/>
    </row>
    <row r="9" spans="1:26" ht="30.75" customHeight="1">
      <c r="A9" s="19">
        <v>2</v>
      </c>
      <c r="B9" s="20" t="s">
        <v>67</v>
      </c>
      <c r="C9" s="21" t="s">
        <v>66</v>
      </c>
      <c r="D9" s="22"/>
    </row>
    <row r="10" spans="1:26" ht="41.25" customHeight="1">
      <c r="A10" s="19">
        <v>3</v>
      </c>
      <c r="B10" s="20" t="s">
        <v>68</v>
      </c>
      <c r="C10" s="21" t="s">
        <v>66</v>
      </c>
      <c r="D10" s="22"/>
    </row>
    <row r="11" spans="1:26" ht="30.75" customHeight="1">
      <c r="A11" s="19">
        <v>4</v>
      </c>
      <c r="B11" s="20" t="s">
        <v>69</v>
      </c>
      <c r="C11" s="21" t="s">
        <v>66</v>
      </c>
      <c r="D11" s="22"/>
    </row>
    <row r="12" spans="1:26" ht="30.75" customHeight="1">
      <c r="A12" s="19">
        <v>5</v>
      </c>
      <c r="B12" s="20" t="s">
        <v>70</v>
      </c>
      <c r="C12" s="21" t="s">
        <v>66</v>
      </c>
      <c r="D12" s="22"/>
    </row>
    <row r="13" spans="1:26" ht="30.75" customHeight="1">
      <c r="A13" s="19">
        <v>6</v>
      </c>
      <c r="B13" s="20" t="s">
        <v>71</v>
      </c>
      <c r="C13" s="21" t="s">
        <v>66</v>
      </c>
      <c r="D13" s="22"/>
    </row>
    <row r="14" spans="1:26" ht="30.75" customHeight="1">
      <c r="A14" s="19">
        <v>7</v>
      </c>
      <c r="B14" s="20" t="s">
        <v>72</v>
      </c>
      <c r="C14" s="21" t="s">
        <v>66</v>
      </c>
      <c r="D14" s="22"/>
    </row>
    <row r="15" spans="1:26" ht="30.75" customHeight="1">
      <c r="A15" s="19">
        <v>8</v>
      </c>
      <c r="B15" s="20" t="s">
        <v>73</v>
      </c>
      <c r="C15" s="21" t="s">
        <v>66</v>
      </c>
      <c r="D15" s="22"/>
    </row>
    <row r="16" spans="1:26" ht="54.75" customHeight="1">
      <c r="A16" s="23">
        <v>9</v>
      </c>
      <c r="B16" s="24" t="s">
        <v>74</v>
      </c>
      <c r="C16" s="25"/>
      <c r="D16" s="25" t="s">
        <v>66</v>
      </c>
    </row>
    <row r="17" spans="1:4" ht="20.25" customHeight="1">
      <c r="A17" s="49" t="s">
        <v>75</v>
      </c>
      <c r="B17" s="38"/>
      <c r="C17" s="8">
        <f>COUNTA('Hoja 2'!$C$8:$C$16)</f>
        <v>8</v>
      </c>
      <c r="D17" s="8">
        <f>COUNTA('Hoja 2'!$D$8:$D$16)</f>
        <v>1</v>
      </c>
    </row>
    <row r="18" spans="1:4" ht="20.25" customHeight="1">
      <c r="A18" s="49" t="s">
        <v>76</v>
      </c>
      <c r="B18" s="38"/>
      <c r="C18" s="27">
        <f t="shared" ref="C18:D18" si="0">C17/9</f>
        <v>0.88888888888888884</v>
      </c>
      <c r="D18" s="27">
        <f t="shared" si="0"/>
        <v>0.1111111111111111</v>
      </c>
    </row>
    <row r="19" spans="1:4" ht="14.25" customHeight="1">
      <c r="A19" s="26"/>
      <c r="B19" s="26"/>
      <c r="C19" s="27"/>
      <c r="D19" s="8"/>
    </row>
    <row r="20" spans="1:4" ht="25.5" customHeight="1">
      <c r="A20" s="55" t="s">
        <v>77</v>
      </c>
      <c r="B20" s="56"/>
      <c r="C20" s="56"/>
      <c r="D20" s="56"/>
    </row>
    <row r="21" spans="1:4" ht="20.25" customHeight="1">
      <c r="A21" s="28" t="s">
        <v>61</v>
      </c>
      <c r="B21" s="29" t="s">
        <v>62</v>
      </c>
      <c r="C21" s="30" t="s">
        <v>63</v>
      </c>
      <c r="D21" s="31" t="s">
        <v>64</v>
      </c>
    </row>
    <row r="22" spans="1:4" ht="32.25" customHeight="1">
      <c r="A22" s="19">
        <v>1</v>
      </c>
      <c r="B22" s="20" t="s">
        <v>78</v>
      </c>
      <c r="C22" s="25" t="s">
        <v>66</v>
      </c>
      <c r="D22" s="22"/>
    </row>
    <row r="23" spans="1:4" ht="14.5">
      <c r="A23" s="19">
        <v>2</v>
      </c>
      <c r="B23" s="20" t="s">
        <v>79</v>
      </c>
      <c r="C23" s="25" t="s">
        <v>66</v>
      </c>
      <c r="D23" s="22"/>
    </row>
    <row r="24" spans="1:4" ht="14.5">
      <c r="A24" s="19">
        <v>3</v>
      </c>
      <c r="B24" s="20" t="s">
        <v>80</v>
      </c>
      <c r="C24" s="25" t="s">
        <v>66</v>
      </c>
      <c r="D24" s="22"/>
    </row>
    <row r="25" spans="1:4" ht="34.5" customHeight="1">
      <c r="A25" s="19">
        <v>4</v>
      </c>
      <c r="B25" s="20" t="s">
        <v>81</v>
      </c>
      <c r="C25" s="25" t="s">
        <v>66</v>
      </c>
      <c r="D25" s="22"/>
    </row>
    <row r="26" spans="1:4" ht="40.5" customHeight="1">
      <c r="A26" s="23">
        <v>5</v>
      </c>
      <c r="B26" s="24" t="s">
        <v>82</v>
      </c>
      <c r="C26" s="25" t="s">
        <v>66</v>
      </c>
      <c r="D26" s="32"/>
    </row>
    <row r="27" spans="1:4" ht="24.75" customHeight="1">
      <c r="A27" s="49" t="s">
        <v>75</v>
      </c>
      <c r="B27" s="38"/>
      <c r="C27" s="8">
        <f>COUNTA('Hoja 2'!$C$22:$C$26)</f>
        <v>5</v>
      </c>
      <c r="D27" s="8">
        <f>COUNTA('Hoja 2'!$D$22:$D$26)</f>
        <v>0</v>
      </c>
    </row>
    <row r="28" spans="1:4" ht="28.5" customHeight="1">
      <c r="A28" s="49" t="s">
        <v>76</v>
      </c>
      <c r="B28" s="38"/>
      <c r="C28" s="27">
        <f t="shared" ref="C28:D28" si="1">C27/5</f>
        <v>1</v>
      </c>
      <c r="D28" s="27">
        <f t="shared" si="1"/>
        <v>0</v>
      </c>
    </row>
    <row r="29" spans="1:4" ht="14.25" customHeight="1">
      <c r="A29" s="26"/>
      <c r="B29" s="26"/>
      <c r="C29" s="27"/>
      <c r="D29" s="8"/>
    </row>
    <row r="30" spans="1:4" ht="24" customHeight="1">
      <c r="A30" s="50" t="s">
        <v>83</v>
      </c>
      <c r="B30" s="38"/>
      <c r="C30" s="38"/>
      <c r="D30" s="38"/>
    </row>
    <row r="31" spans="1:4" ht="24" customHeight="1">
      <c r="A31" s="28" t="s">
        <v>61</v>
      </c>
      <c r="B31" s="29" t="s">
        <v>62</v>
      </c>
      <c r="C31" s="30" t="s">
        <v>63</v>
      </c>
      <c r="D31" s="31" t="s">
        <v>64</v>
      </c>
    </row>
    <row r="32" spans="1:4" ht="37.5" customHeight="1">
      <c r="A32" s="19">
        <v>1</v>
      </c>
      <c r="B32" s="20" t="s">
        <v>84</v>
      </c>
      <c r="C32" s="25" t="s">
        <v>66</v>
      </c>
      <c r="D32" s="25"/>
    </row>
    <row r="33" spans="1:4" ht="37.5" customHeight="1">
      <c r="A33" s="19">
        <v>2</v>
      </c>
      <c r="B33" s="20" t="s">
        <v>85</v>
      </c>
      <c r="C33" s="25" t="s">
        <v>66</v>
      </c>
      <c r="D33" s="25"/>
    </row>
    <row r="34" spans="1:4" ht="37.5" customHeight="1">
      <c r="A34" s="23">
        <v>3</v>
      </c>
      <c r="B34" s="24" t="s">
        <v>86</v>
      </c>
      <c r="C34" s="25"/>
      <c r="D34" s="25" t="s">
        <v>66</v>
      </c>
    </row>
    <row r="35" spans="1:4" ht="24" customHeight="1">
      <c r="A35" s="49" t="s">
        <v>75</v>
      </c>
      <c r="B35" s="38"/>
      <c r="C35" s="8">
        <f>COUNTA('Hoja 2'!$C$32:$C$34)</f>
        <v>2</v>
      </c>
      <c r="D35" s="8">
        <f>COUNTA('Hoja 2'!$D$32:$D$34)</f>
        <v>1</v>
      </c>
    </row>
    <row r="36" spans="1:4" ht="24" customHeight="1">
      <c r="A36" s="49" t="s">
        <v>76</v>
      </c>
      <c r="B36" s="38"/>
      <c r="C36" s="27">
        <f t="shared" ref="C36:D36" si="2">C35/3</f>
        <v>0.66666666666666663</v>
      </c>
      <c r="D36" s="27">
        <f t="shared" si="2"/>
        <v>0.33333333333333331</v>
      </c>
    </row>
    <row r="37" spans="1:4" ht="14.25" customHeight="1"/>
    <row r="38" spans="1:4" ht="14.25" customHeight="1"/>
    <row r="39" spans="1:4" ht="14.25" customHeight="1"/>
    <row r="40" spans="1:4" ht="14.25" customHeight="1">
      <c r="A40" s="51" t="s">
        <v>87</v>
      </c>
      <c r="B40" s="38"/>
      <c r="C40" s="38"/>
    </row>
    <row r="41" spans="1:4" ht="30" customHeight="1">
      <c r="B41" s="13" t="s">
        <v>88</v>
      </c>
      <c r="C41" s="8">
        <v>89</v>
      </c>
    </row>
    <row r="42" spans="1:4" ht="30" customHeight="1">
      <c r="B42" s="13" t="s">
        <v>77</v>
      </c>
      <c r="C42" s="8">
        <v>100</v>
      </c>
    </row>
    <row r="43" spans="1:4" ht="30" customHeight="1">
      <c r="B43" s="13" t="s">
        <v>83</v>
      </c>
      <c r="C43" s="8">
        <v>67</v>
      </c>
    </row>
    <row r="44" spans="1:4" ht="14.25" customHeight="1">
      <c r="C44" s="8"/>
    </row>
    <row r="45" spans="1:4" ht="14.25" customHeight="1">
      <c r="C45" s="8"/>
    </row>
    <row r="46" spans="1:4" ht="14.25" customHeight="1"/>
    <row r="47" spans="1:4" ht="14.25" customHeight="1"/>
    <row r="48" spans="1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36:B36"/>
    <mergeCell ref="A40:C40"/>
    <mergeCell ref="C1:D1"/>
    <mergeCell ref="C2:D2"/>
    <mergeCell ref="C3:D3"/>
    <mergeCell ref="C4:D4"/>
    <mergeCell ref="A6:D6"/>
    <mergeCell ref="A17:B17"/>
    <mergeCell ref="A20:D20"/>
    <mergeCell ref="A18:B18"/>
    <mergeCell ref="A27:B27"/>
    <mergeCell ref="A28:B28"/>
    <mergeCell ref="A30:D30"/>
    <mergeCell ref="A35:B35"/>
  </mergeCells>
  <conditionalFormatting sqref="A32:D34">
    <cfRule type="containsText" dxfId="7" priority="1" operator="containsText" text="X">
      <formula>NOT(ISERROR(SEARCH(("X"),(A32))))</formula>
    </cfRule>
  </conditionalFormatting>
  <conditionalFormatting sqref="C8:D16 C22:C26 C32:D34">
    <cfRule type="containsText" dxfId="6" priority="2" operator="containsText" text="X">
      <formula>NOT(ISERROR(SEARCH(("X"),(C8))))</formula>
    </cfRule>
  </conditionalFormatting>
  <conditionalFormatting sqref="C8:D16 C22:C26 C32:D34">
    <cfRule type="containsText" dxfId="5" priority="3" operator="containsText" text="X">
      <formula>NOT(ISERROR(SEARCH(("X"),(C8))))</formula>
    </cfRule>
  </conditionalFormatting>
  <conditionalFormatting sqref="C8:D16 C22:C26 C32:D34">
    <cfRule type="containsText" dxfId="4" priority="4" operator="containsText" text="X">
      <formula>NOT(ISERROR(SEARCH(("X"),(C8))))</formula>
    </cfRule>
  </conditionalFormatting>
  <conditionalFormatting sqref="C8:D16 C22:C26 C32:D34">
    <cfRule type="containsText" dxfId="3" priority="5" operator="containsText" text="X">
      <formula>NOT(ISERROR(SEARCH(("X"),(C8))))</formula>
    </cfRule>
  </conditionalFormatting>
  <conditionalFormatting sqref="C22:D26">
    <cfRule type="containsText" dxfId="2" priority="6" operator="containsText" text="X">
      <formula>NOT(ISERROR(SEARCH(("X"),(C22))))</formula>
    </cfRule>
  </conditionalFormatting>
  <conditionalFormatting sqref="C22:D26">
    <cfRule type="containsText" dxfId="1" priority="7" operator="containsText" text="X">
      <formula>NOT(ISERROR(SEARCH(("X"),(C22))))</formula>
    </cfRule>
  </conditionalFormatting>
  <conditionalFormatting sqref="C32:D34">
    <cfRule type="containsText" dxfId="0" priority="8" operator="containsText" text="X">
      <formula>NOT(ISERROR(SEARCH(("X"),(C32))))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1"/>
  <sheetViews>
    <sheetView workbookViewId="0">
      <selection activeCell="B4" sqref="B4"/>
    </sheetView>
  </sheetViews>
  <sheetFormatPr baseColWidth="10" defaultColWidth="14.453125" defaultRowHeight="15" customHeight="1"/>
  <cols>
    <col min="1" max="1" width="53.08984375" customWidth="1"/>
    <col min="2" max="2" width="57.26953125" customWidth="1"/>
    <col min="3" max="6" width="10.7265625" customWidth="1"/>
  </cols>
  <sheetData>
    <row r="1" spans="1:2" ht="14.25" customHeight="1">
      <c r="A1" s="33" t="s">
        <v>92</v>
      </c>
      <c r="B1" s="33" t="s">
        <v>93</v>
      </c>
    </row>
    <row r="2" spans="1:2" ht="58">
      <c r="A2" s="20" t="s">
        <v>108</v>
      </c>
      <c r="B2" s="20" t="s">
        <v>106</v>
      </c>
    </row>
    <row r="3" spans="1:2" ht="82" customHeight="1">
      <c r="A3" s="20" t="s">
        <v>110</v>
      </c>
      <c r="B3" s="20" t="s">
        <v>111</v>
      </c>
    </row>
    <row r="4" spans="1:2" ht="72.5">
      <c r="A4" s="20" t="s">
        <v>107</v>
      </c>
      <c r="B4" s="20" t="s">
        <v>109</v>
      </c>
    </row>
    <row r="5" spans="1:2" ht="14.25" customHeight="1"/>
    <row r="6" spans="1:2" ht="14.25" customHeight="1"/>
    <row r="7" spans="1:2" ht="14.25" customHeight="1"/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/>
  </sheetViews>
  <sheetFormatPr baseColWidth="10" defaultColWidth="14.453125" defaultRowHeight="15" customHeight="1"/>
  <cols>
    <col min="1" max="1" width="53.08984375" customWidth="1"/>
    <col min="2" max="2" width="57.26953125" customWidth="1"/>
    <col min="3" max="6" width="10.7265625" customWidth="1"/>
  </cols>
  <sheetData>
    <row r="1" spans="1:2" ht="14.25" customHeight="1">
      <c r="A1" s="33" t="s">
        <v>92</v>
      </c>
      <c r="B1" s="33" t="s">
        <v>93</v>
      </c>
    </row>
    <row r="2" spans="1:2" ht="58">
      <c r="A2" s="20" t="s">
        <v>94</v>
      </c>
      <c r="B2" s="20" t="s">
        <v>95</v>
      </c>
    </row>
    <row r="3" spans="1:2" ht="58">
      <c r="A3" s="4" t="s">
        <v>96</v>
      </c>
      <c r="B3" s="20" t="s">
        <v>97</v>
      </c>
    </row>
    <row r="4" spans="1:2" ht="14.25" customHeight="1"/>
    <row r="5" spans="1:2" ht="14.25" customHeight="1"/>
    <row r="6" spans="1:2" ht="14.25" customHeight="1"/>
    <row r="7" spans="1:2" ht="14.25" customHeight="1"/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00"/>
  <sheetViews>
    <sheetView workbookViewId="0"/>
  </sheetViews>
  <sheetFormatPr baseColWidth="10" defaultColWidth="14.453125" defaultRowHeight="15" customHeight="1"/>
  <cols>
    <col min="1" max="1" width="53.08984375" customWidth="1"/>
    <col min="2" max="2" width="57.26953125" customWidth="1"/>
    <col min="3" max="6" width="10.7265625" customWidth="1"/>
  </cols>
  <sheetData>
    <row r="1" spans="1:2" ht="14.25" customHeight="1">
      <c r="A1" s="33" t="s">
        <v>92</v>
      </c>
      <c r="B1" s="33" t="s">
        <v>93</v>
      </c>
    </row>
    <row r="2" spans="1:2" ht="58">
      <c r="A2" s="20" t="s">
        <v>98</v>
      </c>
      <c r="B2" s="20" t="s">
        <v>99</v>
      </c>
    </row>
    <row r="3" spans="1:2" ht="29">
      <c r="A3" s="20" t="s">
        <v>100</v>
      </c>
      <c r="B3" s="20" t="s">
        <v>101</v>
      </c>
    </row>
    <row r="4" spans="1:2" ht="44.25" customHeight="1">
      <c r="A4" s="20" t="s">
        <v>102</v>
      </c>
      <c r="B4" s="20" t="s">
        <v>103</v>
      </c>
    </row>
    <row r="5" spans="1:2" ht="14.25" customHeight="1"/>
    <row r="6" spans="1:2" ht="14.25" customHeight="1"/>
    <row r="7" spans="1:2" ht="14.25" customHeight="1"/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Matriz Ckeck LIst</vt:lpstr>
      <vt:lpstr>MODELO LISTA DE COMPROBACION - </vt:lpstr>
      <vt:lpstr>Hoja 1</vt:lpstr>
      <vt:lpstr>Hoja 2</vt:lpstr>
      <vt:lpstr>RECOMENDACIONES - CU001</vt:lpstr>
      <vt:lpstr>RECOMENDACIONES - CU002</vt:lpstr>
      <vt:lpstr>RECOMENDACIONES - CU003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Jeancarlo Santi</cp:lastModifiedBy>
  <dcterms:modified xsi:type="dcterms:W3CDTF">2026-04-20T23:37:05Z</dcterms:modified>
</cp:coreProperties>
</file>